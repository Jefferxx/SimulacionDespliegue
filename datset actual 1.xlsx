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tables/table9.xml" ContentType="application/vnd.openxmlformats-officedocument.spreadsheetml.table+xml"/>
  <Override PartName="/xl/worksheets/sheet6.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worksheets/sheet4.xml" ContentType="application/vnd.openxmlformats-officedocument.spreadsheetml.worksheet+xml"/>
  <Override PartName="/xl/tables/table6.xml" ContentType="application/vnd.openxmlformats-officedocument.spreadsheetml.table+xml"/>
  <Override PartName="/xl/worksheets/sheet3.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tables/table8.xml" ContentType="application/vnd.openxmlformats-officedocument.spreadsheetml.table+xml"/>
  <Override PartName="/docProps/app.xml" ContentType="application/vnd.openxmlformats-officedocument.extended-properties+xml"/>
  <Override PartName="/xl/theme/theme1.xml" ContentType="application/vnd.openxmlformats-officedocument.theme+xml"/>
  <Override PartName="/xl/tables/table1.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d_transparencia" sheetId="1" state="visible" r:id="rId1"/>
    <sheet name="d_participacion" sheetId="2" state="visible" r:id="rId2"/>
    <sheet name="d_informacion_academica" sheetId="3" state="visible" r:id="rId3"/>
    <sheet name="d_comunicación" sheetId="4" state="visible" r:id="rId4"/>
    <sheet name="d_transformacion digital" sheetId="5" state="visible" r:id="rId5"/>
    <sheet name="d_investigacion"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<sst xmlns="http://schemas.openxmlformats.org/spreadsheetml/2006/main" count="441" uniqueCount="441">
  <si>
    <t>eis</t>
  </si>
  <si>
    <t>dimensión</t>
  </si>
  <si>
    <t>variable</t>
  </si>
  <si>
    <t>indicador</t>
  </si>
  <si>
    <t>pregunta</t>
  </si>
  <si>
    <t>criterio</t>
  </si>
  <si>
    <t xml:space="preserve">puntaje 1</t>
  </si>
  <si>
    <t xml:space="preserve">evaluador </t>
  </si>
  <si>
    <t xml:space="preserve">puntaje 2</t>
  </si>
  <si>
    <t>promedio</t>
  </si>
  <si>
    <t>IES</t>
  </si>
  <si>
    <t xml:space="preserve">PUNTAJE 1</t>
  </si>
  <si>
    <t xml:space="preserve">%Puntaje 1</t>
  </si>
  <si>
    <t xml:space="preserve">PUNTAJE 2</t>
  </si>
  <si>
    <t xml:space="preserve">%Puntaje 2</t>
  </si>
  <si>
    <t>Promedio</t>
  </si>
  <si>
    <t>%Promedio</t>
  </si>
  <si>
    <t>ESPOL</t>
  </si>
  <si>
    <t xml:space="preserve">TRANSPARENCIA ACTIVA</t>
  </si>
  <si>
    <t xml:space="preserve">Accesibilidad del portalde transparencia</t>
  </si>
  <si>
    <t xml:space="preserve">Existencia del portal</t>
  </si>
  <si>
    <t xml:space="preserve">¿La IES dispone de un portal de transparencia o una sección específica accesible desde la página principal?</t>
  </si>
  <si>
    <t>Cumple</t>
  </si>
  <si>
    <t xml:space="preserve">¿El enlace al portal de transparencia es fácilmente identificable en la página institucional?</t>
  </si>
  <si>
    <t>cumple</t>
  </si>
  <si>
    <t>UNL</t>
  </si>
  <si>
    <t xml:space="preserve">Actualización de la información</t>
  </si>
  <si>
    <t xml:space="preserve">Información actualizada en base a normativa</t>
  </si>
  <si>
    <t xml:space="preserve">¿La información publicada en el portal institucional de transparencia de la IES muestra de forma visible la fecha de su última actualización?</t>
  </si>
  <si>
    <t>EPN</t>
  </si>
  <si>
    <t xml:space="preserve">¿La información publicada en el portal de transparencia de la IES se actualiza mensualmente dentro del plazo establecido por la normativa (hasta el día 10 de cada mes)?</t>
  </si>
  <si>
    <t xml:space="preserve">Cumple parcialmente</t>
  </si>
  <si>
    <t>UTEQ</t>
  </si>
  <si>
    <t xml:space="preserve">Completitud de la información</t>
  </si>
  <si>
    <t xml:space="preserve">Ítems publicados son los exigidos por normativa</t>
  </si>
  <si>
    <t xml:space="preserve">¿La IES publica en su portal web todos los componentes obligatorios detallados en el Art. 7 de la LOTAIP (directorio, remuneraciones, presupuestos, contratos, etc.)?</t>
  </si>
  <si>
    <t>ESPOCH</t>
  </si>
  <si>
    <t xml:space="preserve">¿Existe un registro o evidencia de cumplimiento de los ítems obligatorios?</t>
  </si>
  <si>
    <t>UNEMI</t>
  </si>
  <si>
    <t xml:space="preserve">Usabilidad del portal</t>
  </si>
  <si>
    <t xml:space="preserve">Publicación de información en formato de datos abiertos</t>
  </si>
  <si>
    <t xml:space="preserve">¿La información publicada en el portal de transparencia de la IES se encuentra disponible en formatos reutilizables (CSV, PDF, etc.)?</t>
  </si>
  <si>
    <t>ESPE</t>
  </si>
  <si>
    <t xml:space="preserve">¿La información publicada en el portal de transparencia de la IES cuenta con metadatos o descripciones que faciliten su comprensión y uso?</t>
  </si>
  <si>
    <t xml:space="preserve">Publicación de información financiera y presupuestaria</t>
  </si>
  <si>
    <t xml:space="preserve">Publicación de información financiera y presupuestaria, calidad y claridad de datos financieros</t>
  </si>
  <si>
    <t xml:space="preserve">¿La información publicada en el portal de transparencia de la IES publica información sobre presupuesto, ejecución y contratos?</t>
  </si>
  <si>
    <t xml:space="preserve">¿Los datos financieros publicados en el portal de transparencia de la IES están presentados de manera clara y comprensible para el ciudadano común?</t>
  </si>
  <si>
    <t xml:space="preserve">TRANSPARENCIA PASIVA</t>
  </si>
  <si>
    <t xml:space="preserve">Procedimiento institucional</t>
  </si>
  <si>
    <t xml:space="preserve">Existencia de reglamento, protocolo, formato de solicitudes</t>
  </si>
  <si>
    <t xml:space="preserve">¿La IES publica en su portal institucional un reglamento o normativa interna que regule el procedimiento para la atención de solicitudes de acceso a la información pública?</t>
  </si>
  <si>
    <t xml:space="preserve">¿Existe un protocolo o manual, disponible en el portal institucional o canales oficiales de la IES, que explique los pasos para tramitar solicitudes de acceso a la información?</t>
  </si>
  <si>
    <t xml:space="preserve">No Cumple</t>
  </si>
  <si>
    <t xml:space="preserve">¿La IES pone a disposición de la comunidad, mediante su portal institucional, un formato estándar para la presentación de solicitudes de acceso a la información?</t>
  </si>
  <si>
    <t xml:space="preserve">¿Los requisitos para presentar solicitudes de acceso a la información están disponibles y detalladamente descritos en el portal institucional de la IES?</t>
  </si>
  <si>
    <t xml:space="preserve">Tiempos de respuesta</t>
  </si>
  <si>
    <t xml:space="preserve">Plazos predefinidos para respuesta a solicitudes de información</t>
  </si>
  <si>
    <t xml:space="preserve">¿La IES responde dentro de los plazos legales (10 días hábiles con posible prórroga de 5 días) a las solicitudes de acceso a la información presentadas a través de los medios oficiales (portal institucional, correo, ventanilla, u otros)?</t>
  </si>
  <si>
    <t xml:space="preserve">¿La IES entrega toda la información solicitada en cada solicitud, sin omitir datos ni documentos, tal como se indica en los procedimientos publicados en el portal institucional o canales oficiales?</t>
  </si>
  <si>
    <t xml:space="preserve">Respuestas completas</t>
  </si>
  <si>
    <t xml:space="preserve">Las respuestas se completan satisfactoriamente por parte de la institución</t>
  </si>
  <si>
    <t xml:space="preserve">¿Percibe que la IES atiende las solicitudes de información de manera completa, clara y dentro de los plazos establecidos, a través de los medios oficiales disponibles?</t>
  </si>
  <si>
    <t xml:space="preserve">Cuando un usuario solicita información a la IES a través de los canales oficiales (formulario en el portal web, correo institucional), ¿la información entregada incluye todos los datos requeridos, está actualizada, se presenta de manera clara y comprensible?</t>
  </si>
  <si>
    <t xml:space="preserve">¿La IES pone a disposición en su portal institucional o canales oficiales información sobre las solicitudes de acceso a la información atendidas y pendientes de respuesta?</t>
  </si>
  <si>
    <t xml:space="preserve">Mecanismos de acceso</t>
  </si>
  <si>
    <t xml:space="preserve">Existen varios canales disponibles de acceso a la información (presencial, web, correo, etc.)</t>
  </si>
  <si>
    <t xml:space="preserve">¿La IES pone a disposición de la comunidad varios medios oficiales para presentar solicitudes de acceso a la información, como portal institucional, correo electrónico, ventanilla u otros?</t>
  </si>
  <si>
    <t xml:space="preserve">¿Los canales oficiales de atención de la IES (portal institucional, correo electrónico, ventanilla u otros) funcionan de manera eficiente, respondiendo y confirmando la recepción de las solicitudes de información?</t>
  </si>
  <si>
    <t xml:space="preserve">¿Los ciudadanos pueden dar seguimiento a sus solicitudes de acceso a la información a través de los canales oficiales de la IES (portal institucional, correo electrónico, ventanilla u otros)?</t>
  </si>
  <si>
    <t xml:space="preserve">Cumple Parcialmente</t>
  </si>
  <si>
    <t xml:space="preserve">Satisfacción del solicitante</t>
  </si>
  <si>
    <t xml:space="preserve">Los usuarios están satisfechos con el servicio</t>
  </si>
  <si>
    <t xml:space="preserve">¿Los ciudadanos perciben que el personal encargado de atender las solicitudes de información en la IES brinda atención con amabilidad y disposición a través de los canales oficiales (portal institucional, correo electrónico, ventanilla u otros)?</t>
  </si>
  <si>
    <t xml:space="preserve">no cumple</t>
  </si>
  <si>
    <t xml:space="preserve">¿Los ciudadanos perciben que las respuestas a sus solicitudes de acceso a la información en la IES, recibidas a través de los canales oficiales (portal institucional, correo electrónico, ventanilla u otros), son claras y de calidad?</t>
  </si>
  <si>
    <t xml:space="preserve">¿Los ciudadanos perciben que el proceso para presentar solicitudes de acceso a la información en la IES, a través de los canales oficiales (portal institucional, correo electrónico, ventanilla u otros), es sencillo y comprensible?</t>
  </si>
  <si>
    <t xml:space="preserve">En general, ¿los ciudadanos perciben estar satisfechos con el servicio de atención a solicitudes de información en la IES, a través de los canales oficiales (portal institucional, correo electrónico, ventanilla u otros)?</t>
  </si>
  <si>
    <t xml:space="preserve">Publicación de solicitudes frecuentes (FAǪ)</t>
  </si>
  <si>
    <t xml:space="preserve">Existencia de repositorio público de solicitudes recurrentes</t>
  </si>
  <si>
    <t xml:space="preserve">¿La IES publica en su portal institucional o canales oficiales un registro o repositorio de las solicitudes de información recibidas y sus respuestas?</t>
  </si>
  <si>
    <t xml:space="preserve">¿El repositorio o registro de solicitudes de información publicado en el portal institucional o canales oficiales de la IES permite identificar los temas más solicitados por la ciudadanía?</t>
  </si>
  <si>
    <t xml:space="preserve">¿La IES utiliza la información de las solicitudes de acceso a la información más frecuentes para mejorar los contenidos publicados en su portal institucional o canales oficiales?</t>
  </si>
  <si>
    <t xml:space="preserve">TRANSPARENCIA FOCALIZADA</t>
  </si>
  <si>
    <t xml:space="preserve">Identificación de públicos objetivo</t>
  </si>
  <si>
    <t xml:space="preserve">Existencia de mapeo de grupos de interés (estudiantes, docentes, ciudadanía)</t>
  </si>
  <si>
    <t xml:space="preserve">¿El portal institucional de la IES presenta información donde se identifiquen los principales grupos de interés o públicos a los que se dirige la información institucional (por ejemplo: estudiantes, docentes, ciudadanía, proveedores)?</t>
  </si>
  <si>
    <t xml:space="preserve">¿La IES publica en su portal institucional o canales oficiales un diagnóstico o mapeo formal que relacione las necesidades de información de cada grupo de la comunidad con los contenidos disponibles?</t>
  </si>
  <si>
    <t xml:space="preserve">¿La IES establece, a través de su portal institucional o canales oficiales, mecanismos que permitan la participación de los grupos de interés en la definición de los temas o tipos de información que se publican?</t>
  </si>
  <si>
    <t xml:space="preserve">¿La IES publica en su portal institucional o canales oficiales evidencia de revisiones periódicas que identifiquen cambios en los grupos de interés o en sus necesidades de información?</t>
  </si>
  <si>
    <t xml:space="preserve">¿La IES publica en su portal institucional o canales oficiales información sobre temas específicos de interés general para la comunidad?</t>
  </si>
  <si>
    <t xml:space="preserve">Información sectorial priorizada</t>
  </si>
  <si>
    <t xml:space="preserve">Existe información, publicaciones de temas específicos con información dirigida (p. ej. becas, presupuestos, investigaciones)</t>
  </si>
  <si>
    <t xml:space="preserve">¿La IES publica en su portal institucional o canales oficiales información adaptada a distintos grupos de interés, abordando temas relevantes para cada uno (por ejemplo, becas para estudiantes, proyectos para docentes, presupuestos para administradores)?</t>
  </si>
  <si>
    <t xml:space="preserve">¿La IES publica en su portal institucional o canales oficiales evidencia de que los contenidos dirigidos a cada grupo de interés se actualizan regularmente?</t>
  </si>
  <si>
    <t xml:space="preserve">cumple parcialmente</t>
  </si>
  <si>
    <t xml:space="preserve">¿La IES publica en su portal institucional o canales oficiales información sobre los temas específicos que son más consultados o demandados por la ciudadanía o la comunidad educativa?</t>
  </si>
  <si>
    <t xml:space="preserve">¿La información publicada en el portal institucional o canales oficiales de la IES sobre temas relevantes para distintos grupos de interés es clara, comprensible y fácil de entender para los usuarios?</t>
  </si>
  <si>
    <t xml:space="preserve">Claridad y lenguaje ciudadano</t>
  </si>
  <si>
    <t xml:space="preserve">Nivel de comprensión de la información publicada</t>
  </si>
  <si>
    <t xml:space="preserve">¿La IES utiliza lenguaje ciudadano, claro y no técnico, en los contenidos informativos publicados en su portal institucional o canales oficiales, dirigidos a distintos grupos de interés?</t>
  </si>
  <si>
    <t xml:space="preserve">¿La IES realiza pruebas o evaluaciones con usuarios para medir la comprensión de los contenidos por parte de ellos que son publicados en su portal institucional o canales oficiales?</t>
  </si>
  <si>
    <t xml:space="preserve">¿Los informes, documentos o contenidos publicados en el portal institucional o canales oficiales de la IES incluyen resúmenes ejecutivos, infografías u otros elementos que faciliten la comprensión para la ciudadanía?</t>
  </si>
  <si>
    <t xml:space="preserve">Accesibilidad diferenciada</t>
  </si>
  <si>
    <t xml:space="preserve">Disponibilidad de versiones inclusivas (lectura fácil, braille, multimedia)</t>
  </si>
  <si>
    <t xml:space="preserve">¿La IES publica en su portal institucional o canales oficiales versiones accesibles de sus contenidos informativos, como lectura fácil, braille, videos con lenguaje de señas, subtítulos u otros formatos inclusivos, para la ciudadanía en general?</t>
  </si>
  <si>
    <t xml:space="preserve">¿La información publicada en el portal institucional o canales oficiales de la IES permite a la ciudadanía en general mejorar su conocimiento y participación en asuntos públicos?</t>
  </si>
  <si>
    <t xml:space="preserve">¿La información publicada en el portal institucional de la IES es útil para satisfacer las necesidades específicas de distintos grupos de interés (por ejemplo, estudiantes, docentes, investigadores, administradores, comunidad)?</t>
  </si>
  <si>
    <t xml:space="preserve">TRANSPARENCIA COLABORATIVA</t>
  </si>
  <si>
    <t xml:space="preserve">Mecanismos de colaboración</t>
  </si>
  <si>
    <t xml:space="preserve">Existen espacios participativos en temas de transparencia (foros, laboratorios, hackathons)</t>
  </si>
  <si>
    <t xml:space="preserve">¿La IES publica en su portal institucional información sobre su participación u organización en espacios colaborativos sobre transparencia o datos abiertos (foros, mesas de trabajo, hackathons, laboratorios cívicos, etc.)?</t>
  </si>
  <si>
    <t xml:space="preserve">¿La IES publica en su portal institucional o canales oficiales evidencia sobre la frecuencia con la que se realizan espacios colaborativos relacionados con transparencia o datos abiertos?</t>
  </si>
  <si>
    <t xml:space="preserve">¿La IES publica en su portal institucional evidencia de que la ciudadanía y actores externos pueden proponer temas o participar activamente en los espacios colaborativos relacionados con transparencia o datos abiertos?</t>
  </si>
  <si>
    <t xml:space="preserve">¿La IES publica en su portal institucional o canales oficiales los resultados de los espacios colaborativos relacionados con transparencia o datos abiertos, y evidencia que estos resultados se integran en la gestión institucional?</t>
  </si>
  <si>
    <t xml:space="preserve">Participación ciudadana en el diseño de información</t>
  </si>
  <si>
    <t xml:space="preserve">Existencia de proyectos de transparencia co-creados con la comunidad</t>
  </si>
  <si>
    <t xml:space="preserve">¿La IES publica en su portal institucional o canales oficiales información sobre proyectos o iniciativas de transparencia desarrollados en colaboración con ciudadanos, otras universidades, empresas o colectivos cívicos?</t>
  </si>
  <si>
    <t xml:space="preserve">¿La IES publica en su portal institucional información sobre proyectos de transparencia que hayan sido co-diseñados o co-gestionados con ciudadanos, otras universidades, empresas o colectivos cívicos?</t>
  </si>
  <si>
    <t xml:space="preserve">¿La IES publica en su portal institucional o canales oficiales evidencia o documentación sobre los procesos de co-creación de proyectos de transparencia realizados con ciudadanos, otras universidades, empresas o colectivos cívicos?</t>
  </si>
  <si>
    <t xml:space="preserve">¿La IES publica en su portal institucional la evaluación del impacto o los resultados de los proyectos de transparencia cocreados?</t>
  </si>
  <si>
    <t xml:space="preserve">Datos abiertos co-creados</t>
  </si>
  <si>
    <t xml:space="preserve">La institución presenta datasets o informes generados junto con actores externos</t>
  </si>
  <si>
    <t xml:space="preserve">¿La IES publica en sitios oficiales los datasets, informes o productos de transparencia elaborados juntamente con organizaciones de la sociedad civil, estudiantes u otros sectores?</t>
  </si>
  <si>
    <t xml:space="preserve">¿La IES publica con frecuencia los productos de información colaborativa (datasets, reportes, análisis) desarrollados junto con ciudadanos, organizaciones de la sociedad civil, estudiantes u otros sectores?</t>
  </si>
  <si>
    <t xml:space="preserve">¿Los informes, reportes o datasets cocreados se publican en el portal institucional de transparencia o, en el caso de datasets, también en el portal de datos abiertos?</t>
  </si>
  <si>
    <t xml:space="preserve">¿La IES publica en su portal institucional información sobre mecanismos utilizados para validar o revisar la calidad de los datos y productos de información cocreados?</t>
  </si>
  <si>
    <t xml:space="preserve">Retroalimentación pública</t>
  </si>
  <si>
    <t xml:space="preserve">Existencia de canales de comentarios o sugerencias</t>
  </si>
  <si>
    <t xml:space="preserve">¿La IES dispone de canales digitales o físicos, publicados o referenciados en su portal institucional o canales oficiales, donde la ciudadanía pueda emitir comentarios, sugerencias o retroalimentación sobre la información pública disponible?</t>
  </si>
  <si>
    <t xml:space="preserve">¿Los canales digitales para emitir comentarios o sugerencias sobre la información pública, publicados o referenciados en el portal institucional o canales oficiales de la IES, son visibles, accesibles y fáciles de usar (por ejemplo, formularios en línea, foros o redes sociales institucionales)?</t>
  </si>
  <si>
    <t xml:space="preserve">¿La IES dispone de un mecanismo para dar respuesta o seguimiento a los comentarios, sugerencias o retroalimentación recibidos a través de los canales digitales o físicos disponibles?</t>
  </si>
  <si>
    <t xml:space="preserve">¿La IES publica en su portal institucional o canales oficiales un registro, informe o consolidado de las sugerencias, comentarios o retroalimentación recibidos de la ciudadanía y las acciones o respuestas derivadas de ellos?</t>
  </si>
  <si>
    <t xml:space="preserve">Nivel de interacción</t>
  </si>
  <si>
    <t xml:space="preserve">Existen plataformas colaborativas institucionales que evidencien (visitas, aportes)</t>
  </si>
  <si>
    <t xml:space="preserve">¿La IES dispone de una plataforma o espacio digital colaborativo, publicado o referenciado en su portal institucional o canales oficiales, que permita a la ciudadanía o actores externos realizar aportes, comentarios o participar activamente en temas de transparencia o datos abiertos?</t>
  </si>
  <si>
    <t xml:space="preserve">¿La IES dispone de registros o reportes sobre el nivel de participación o interacción ciudadana en sus plataformas o espacios digitales colaborativos (por ejemplo, número de aportes, comentarios, descargas), publicados o referenciados en su portal institucional o canales oficiales?</t>
  </si>
  <si>
    <t xml:space="preserve">¿La IES publica en su portal institucional o canales oficiales evidencia de que realiza un análisis de las métricas de participación en espacios o plataformas colaborativas y utiliza los aportes recibidos para mejorar la gestión de transparencia?</t>
  </si>
  <si>
    <t xml:space="preserve">¿La IES publica en su portal institucional o canales oficiales información sobre actividades, convocatorias o campañas destinadas a fomentar la participación ciudadana en sus plataformas o espacios digitales colaborativos?</t>
  </si>
  <si>
    <t xml:space="preserve">Accesibilidad del portal de transparencia</t>
  </si>
  <si>
    <t xml:space="preserve">No cumple</t>
  </si>
  <si>
    <t>puntaje</t>
  </si>
  <si>
    <t>evaluador</t>
  </si>
  <si>
    <t xml:space="preserve">promedio </t>
  </si>
  <si>
    <t xml:space="preserve">PARTICIPACIÓN INFORMATIVA</t>
  </si>
  <si>
    <t xml:space="preserve">Acceso a la información participativa</t>
  </si>
  <si>
    <t xml:space="preserve">Se publica Información sobre procesos y decisiones</t>
  </si>
  <si>
    <t xml:space="preserve">¿La IES publica en su portal web institucional información clara y accesible sobre el proceso de toma de decisiones de sus órganos de gobierno (por ejemplo: Consejo Universitario, consejos de facultad u otros órganos colegiados)?</t>
  </si>
  <si>
    <t xml:space="preserve">¿La IES publica en su portal web institucional información sobre el procedimiento o los pasos que se siguen para la aprobación de reglamentos, normativas o proyectos institucionales?</t>
  </si>
  <si>
    <t xml:space="preserve">¿La IES publica en su portal web institucional las resoluciones, actas o acuerdos de sus órganos de gobierno universitario, identificando claramente a las autoridades o responsables que adoptaron dichas decisiones?</t>
  </si>
  <si>
    <t xml:space="preserve">¿La IES publica en su portal web institucional las resoluciones o acuerdos emitidos por sus órganos de gobierno universitario (por ejemplo: Consejo Universitario, Rectorado o consejos de facultad) de forma accesible al público?</t>
  </si>
  <si>
    <t xml:space="preserve">Difusión de decisiones institucionales</t>
  </si>
  <si>
    <t xml:space="preserve">Se publicación de resoluciones y acuerdos institucionales de manera frecuente (Mensual, Trimestral, Semestral, Anual)</t>
  </si>
  <si>
    <t xml:space="preserve">¿La IES publica y mantiene actualizada mensualmente en su portal web institucional la sección de transparencia con la información obligatoria establecida por la LOTAIP?</t>
  </si>
  <si>
    <t xml:space="preserve">¿La IES publica las resoluciones o acuerdos adoptados por sus autoridades u órganos de gobierno en sitios o plataformas oficiales accesibles al público dentro del mismo período de actualización mensual establecido para la información pública institucional?</t>
  </si>
  <si>
    <t xml:space="preserve">¿La IES mantiene actualizado, con periodicidad mensual, el repositorio o sección de su portal web institucional donde se publican los acuerdos y resoluciones adoptados por sus autoridades u órganos de gobierno?</t>
  </si>
  <si>
    <t xml:space="preserve">¿La IES publica y mantiene actualizadas las actas de las sesiones de sus autoridades u órganos de gobierno en sitios o plataformas oficiales accesibles al público?</t>
  </si>
  <si>
    <t xml:space="preserve">Comunicación bidireccional potencial</t>
  </si>
  <si>
    <t xml:space="preserve">Existencia de canales para recibir comentarios o consultas (aunque no se usen).</t>
  </si>
  <si>
    <t xml:space="preserve">¿La IES dispone de canales oficiales (por ejemplo: buzones, correos electrónicos o formularios en línea) para que estudiantes, docentes o ciudadanos puedan enviar consultas, comentarios o sugerencias sobre su gestión institucional?</t>
  </si>
  <si>
    <t xml:space="preserve">¿La IES publica de forma clara en su portal web institucional los medios oficiales disponibles (por ejemplo: formularios, correos electrónicos o buzones de contacto) para que la comunidad universitaria o la ciudadanía pueda enviar consultas o comentarios?</t>
  </si>
  <si>
    <t xml:space="preserve">¿La IES publica en sus sitios o plataformas oficiales los datos de contacto de las dependencias o unidades responsables de atender solicitudes de información o consultas ciudadanas (por ejemplo: correos electrónicos, teléfonos o formularios de contacto)?</t>
  </si>
  <si>
    <t xml:space="preserve">¿La IES en sus sitios o plataformas oficiales habilita canales de consulta (por ejemplo: formularios, correos electrónicos o buzones institucionales) accesibles para estudiantes, docentes, personal administrativo y ciudadanía interesada?</t>
  </si>
  <si>
    <t xml:space="preserve">Participación en eventos informativos</t>
  </si>
  <si>
    <t xml:space="preserve">¿La IES publica en sus sitios o plataformas oficiales las memorias, informes o comunicados de jornadas, talleres u otros eventos institucionales en los que se presenten avances, resultados o decisiones relevantes?</t>
  </si>
  <si>
    <t xml:space="preserve">¿La IES publica en su portal web institucional o en otros canales oficiales invitaciones o convocatorias para participar en jornadas informativas, talleres u otros eventos donde se presenten avances o decisiones institucionales?</t>
  </si>
  <si>
    <t xml:space="preserve">¿La IES publica o pone a disposición en sitios o plataformas oficiales los materiales (por ejemplo: videos, grabaciones o memorias) de talleres, jornadas u otros eventos informativos realizados por la institución?</t>
  </si>
  <si>
    <t xml:space="preserve">¿La IES difunde o publica en sus plataformas o canales oficiales convocatorias dirigidas a estudiantes y docentes para participar en eventos institucionales de rendición de cuentas?</t>
  </si>
  <si>
    <t xml:space="preserve">PARTICIPACIÓN CONSULTIVA</t>
  </si>
  <si>
    <t xml:space="preserve">Existencia de mecanismos de consulta</t>
  </si>
  <si>
    <t xml:space="preserve">Existe variedad de espacios
consultivos activos</t>
  </si>
  <si>
    <t xml:space="preserve">¿La IES dispone de mecanismos formales de consulta (por ejemplo: foros, encuestas, mesas de diálogo u otros espacios participativos) publicados en su portal o plataformas institucionales para que la comunidad universitaria o la ciudadanía pueda emitir opiniones o aportes sobre la gestión institucional?</t>
  </si>
  <si>
    <t xml:space="preserve">¿La IES publica en su portal web institucional convocatorias a eventos, talleres, encuestas especiales u otros espacios participativos que permitan a la comunidad universitaria enviar opiniones, sugerencias o aportes sobre decisiones y gestión institucional?</t>
  </si>
  <si>
    <t xml:space="preserve">¿Considera que la IES dispone de varios mecanismos de consulta que permitan a estudiantes, docentes y personal administrativo expresar opiniones o inquietudes sobre la gestión institucional?</t>
  </si>
  <si>
    <t xml:space="preserve">Frecuencia de participación consultiva</t>
  </si>
  <si>
    <t xml:space="preserve">Existencia de procesos de
consulta con la comunidad universitaria sobre políticas o planes Aprobados.</t>
  </si>
  <si>
    <t xml:space="preserve">¿La IES dispone en su portal web institucional de mecanismos de consulta (por ejemplo: encuestas u otros espacios participativos) para recoger opiniones de la comunidad universitaria sobre planes, programas o políticas institucionales?</t>
  </si>
  <si>
    <t xml:space="preserve">¿La IES en sus plataformas oficiales o sitios web institucionales dispone de mecanismos o espacios de consulta (por ejemplo: foros, mesas de diálogo, encuestas u otros procesos participativos) que permitan a la comunidad universitaria proponer observaciones o mejoras a normativas institucionales previamente aprobadas?</t>
  </si>
  <si>
    <t xml:space="preserve">¿La IES publica en su portal web institucional encuestas, formularios u otros espacios de consulta para que la comunidad universitaria pueda opinar sobre el cumplimiento o impacto del Plan Estratégico Institucional?</t>
  </si>
  <si>
    <t xml:space="preserve">Inclusión y diversidad en las consultas</t>
  </si>
  <si>
    <t xml:space="preserve">Existe Representatividad de
grupos internos y externos en las consultas (% de participación de estudiantes, docentes,
sociedad).</t>
  </si>
  <si>
    <t xml:space="preserve">¿La IES publica convocatorias dirigidas a distintos grupos de interés (estudiantes, docentes, egresados u otros actores) para participar en consultas sobre políticas, planes o decisiones institucionales?</t>
  </si>
  <si>
    <t xml:space="preserve">Existe Representatividad de
grupos internos y externos en las consultas (% de participación de estudiantes, docentes, sociedad).</t>
  </si>
  <si>
    <t xml:space="preserve">¿La IES publica en su portal web institucional o en otros canales oficiales convocatorias o procesos de consulta dirigidos a grupos diversos o específicos (por ejemplo: estudiantes de diferentes carreras, egresados, personas con discapacidad u otros actores) para participar en la discusión de políticas o decisiones institucionales?</t>
  </si>
  <si>
    <t xml:space="preserve">¿La IES publica en su portal web institucional información sobre procesos de consulta que garanticen una participación plural y representativa de los distintos sectores de la comunidad universitaria?</t>
  </si>
  <si>
    <t xml:space="preserve">Transparencia de los resultados</t>
  </si>
  <si>
    <t xml:space="preserve">Grado de publicación y
difusión de los aportes recibidos y respuestas institucionales (consultas cuyos resultados se publican / consultas totales).</t>
  </si>
  <si>
    <t xml:space="preserve">¿La IES publica en su portal web institucional un resumen o informe de los procesos de consulta o participación que incluya los comentarios, observaciones o sugerencias realizados por la comunidad universitaria?</t>
  </si>
  <si>
    <t xml:space="preserve">¿La IES publica en su portal web institucional información sobre los resultados de los procesos de consulta, indicando qué aportes realizados por la comunidad fueron aceptados y cuáles no fueron incorporados?</t>
  </si>
  <si>
    <t xml:space="preserve">¿La IES publica en su portal web institucional o sitios oficiales de la institución, los resultados y conclusiones de los procesos de consulta realizados, de manera que sean accesibles para la comunidad universitaria y la ciudadanía?</t>
  </si>
  <si>
    <t xml:space="preserve">Uso institucional de los
aportes</t>
  </si>
  <si>
    <t xml:space="preserve">Existe evidencia de que los
aportes ciudadanos o académicos influyeron en decisiones.</t>
  </si>
  <si>
    <t xml:space="preserve">¿La IES publica en su portal web institucional evidencia de cambios institucionales realizados a partir de las sugerencias o aportes de la comunidad universitaria recogidos en procesos de consulta?</t>
  </si>
  <si>
    <t xml:space="preserve">Existe evidencia de que los aportes ciudadanos o académicos influyeron en decisiones.</t>
  </si>
  <si>
    <t xml:space="preserve">¿La IES publica en su portal web institucional información que evidencie cómo los resultados de las consultas realizadas influyen en las decisiones adoptadas por sus autoridades?</t>
  </si>
  <si>
    <t xml:space="preserve">¿La IES publica en su portal web institucional información que indique qué partes de una norma o política institucional fueron modificadas gracias a la participación o sugerencias de la comunidad universitaria?</t>
  </si>
  <si>
    <t xml:space="preserve">Participación digital
(consultiva)</t>
  </si>
  <si>
    <t xml:space="preserve">Uso de herramientas
electrónicas para recoger aportes o encuestas.</t>
  </si>
  <si>
    <t xml:space="preserve">¿La IES publica en su portal web institucional información que explique cómo las sugerencias de la comunidad universitaria fueron consideradas en la modificación de normas o políticas institucionales?</t>
  </si>
  <si>
    <t xml:space="preserve">¿Las herramientas tecnológicas que la IES dispone en su portal web institucional (plataformas, portales, aplicaciones institucionales o formularios en línea) son modernas y fáciles de usar para recoger las opiniones de la comunidad universitaria?</t>
  </si>
  <si>
    <t xml:space="preserve">¿La IES pone a disposición en sus portales web institucionales mecanismos que permitan a la comunidad (estudiantes, docentes, personal administrativo) votar, priorizar o expresar sus necesidades de manera formal?</t>
  </si>
  <si>
    <t xml:space="preserve">PARTICIPACIÓN DECISORIA</t>
  </si>
  <si>
    <t xml:space="preserve">Espacios de co-decisión</t>
  </si>
  <si>
    <t xml:space="preserve">Existencia de órganos colegiados con representación de la comunidad universitaria o externa.</t>
  </si>
  <si>
    <t xml:space="preserve">¿La IES publica en su portal web documentos oficiales del proceso mediante el cual los delegados de cada estamento son elegidos y cómo rinden cuentas a la comunidad?</t>
  </si>
  <si>
    <t xml:space="preserve">¿La IES publica en un canal oficial (portal web o plataforma institucional) la identidad de los representantes de la sociedad civil o de sectores externos que participan en sus órganos de decisión?</t>
  </si>
  <si>
    <t xml:space="preserve">¿La IES publica en el portal web oficial (reglamento, estatuto, acta oficial) que los votos de los representantes estudiantiles y externos evidenciándose que tienen el mismo valor que los de las autoridades en sus órganos de decisión?</t>
  </si>
  <si>
    <t xml:space="preserve">Co-creación de políticas o proyectos</t>
  </si>
  <si>
    <t xml:space="preserve">Existen iniciativas o políticas diseñadas de manera colaborativa (Coneo_Anual / Conteo_Acumulado)*100.</t>
  </si>
  <si>
    <t xml:space="preserve">¿La IES publica en su portal web oficial la lista de las personas que participan en las reuniones para la creación de reglamentos, evidenciando el cargo que ocupan, para verificar si los equipos de trabajo son mixtos (autoridades y estudiantes)?</t>
  </si>
  <si>
    <t xml:space="preserve">¿La IES publica en su portal web oficial la lista de participantes de cada proyecto en curso, indicando sus cargos, de manera que se pueda verificar la participación de autoridades, estudiantes y otros actores siguiendo un modelo de co-creación, promoviendo la colaboración igualitaria entre autoridades, estudiantes y otros actores de la comunidad?</t>
  </si>
  <si>
    <t xml:space="preserve">¿La IES publica en su portal web o plataformas oficiales qué aportes o retroalimentaciones de la comunidad fueron considerados y cómo fueron incorporados en la propuesta y diseño de soluciones, evitando que la participación se limite solo a la revisión de planes previamente elaborados por las autoridades?</t>
  </si>
  <si>
    <t xml:space="preserve">Vinculación social y territorial participativa</t>
  </si>
  <si>
    <t xml:space="preserve">Participación conjunta con
actores externos (ONG, municipios, comunidades). Número de Proyectos gestionados o convenios
participativos</t>
  </si>
  <si>
    <t xml:space="preserve">La IES publica en su portal web o plataformas oficiales, ¿cómo se ha dado la colaboración de barrios, gremios u ONGs en la toma de decisiones de proyectos que generan un alto impacto social?</t>
  </si>
  <si>
    <t xml:space="preserve">¿La IES publica en su portal web o sitios oficiales cómo se ha involucrado a actores externos en la gestión y toma de decisiones de los centros de investigación o de vinculación con la comunidad?</t>
  </si>
  <si>
    <t xml:space="preserve">¿La IES publica en su portal web oficial (actas, convenios, informes o comunicados) la existencia de mesas de co-gobierno, mostrando quiénes participan y qué decisiones se tomaron sobre recursos destinados a la comunidad?</t>
  </si>
  <si>
    <t xml:space="preserve">Evaluación participativa</t>
  </si>
  <si>
    <t xml:space="preserve">Existencia de procesos de
monitoreo y evaluación con participación, estudiantes, ciudadana o académica.</t>
  </si>
  <si>
    <t xml:space="preserve">¿La IES publica en su portal web oficial (actas, reglamentos, convenios, informes o comunicados) la existencia de comisiones oficiales que incluyan estudiantes y ciudadanos, y el proceso mediante el cual supervisan y dan cumplimiento a los compromisos institucionales?</t>
  </si>
  <si>
    <t xml:space="preserve">¿La IES publica en su portal web oficial un enlace, sección o plataforma o en alguna plataforma oficial que permita a la comunidad universitaria participar activamente en la evaluación del desempeño de sus autoridades y directivos?</t>
  </si>
  <si>
    <t xml:space="preserve">¿La IES publica en su portal web oficial un formulario, encuesta, sección de retroalimentación o plataforma digital que permita a los usuarios evaluar la calidad de los servicios digitales?</t>
  </si>
  <si>
    <t xml:space="preserve">INFORMACIÓN ACADÉMICA ACCESIBILIDAD</t>
  </si>
  <si>
    <t xml:space="preserve">Información académica
publicada</t>
  </si>
  <si>
    <t xml:space="preserve">Existencia de información
académica publicada</t>
  </si>
  <si>
    <t xml:space="preserve">¿La oferta académica completa de la IES (carreras, programas y perfiles) está publicada en el portal web oficial de manera que los usuarios no presenten inconvenientes al acceder a ella, y además se encuentra disponible en formatos descargables (PDF, CSV u otros)?</t>
  </si>
  <si>
    <t xml:space="preserve">¿Los sílabos o mallas curriculares detalladas de las asignaturas están publicados en el portal web oficial de la IES y se puede acceder a ellos libremente, sin necesidad de contar con usuario o contraseña privada?</t>
  </si>
  <si>
    <t xml:space="preserve">¿La información académica que necesita la comunidad (planes de estudio, sílabos, reglamentos, criterios de evaluación, programas especiales) está publicada en el portal web oficial de la IES de manera que se pueda acceder a ella sin inconvenientes técnicos, es decir, sin requerir usuario privado, con enlaces funcionales, archivos descargables y organización clara de la información?</t>
  </si>
  <si>
    <t xml:space="preserve">Facilidad para acceder a
la información académica</t>
  </si>
  <si>
    <t xml:space="preserve">Nivel de facilidad de acceso</t>
  </si>
  <si>
    <t xml:space="preserve">¿La estructura y organización del portal web o plataforma de la IES permite localizar y acceder a la información académica (planes de estudio, sílabos, reglamentos, criterios de evaluación, programas especiales) de manera clara, organizada y sin confusión, de modo que los usuarios puedan encontrar lo que buscan sin perderse en menús o secciones desordenadas?</t>
  </si>
  <si>
    <t xml:space="preserve">¿La información académica publicada en el portal web oficial de la IES (planes de estudio, sílabos, reglamentos, criterios de evaluación, programas especiales, requisitos de títulos, informes académicos) cubre de manera completa y actualizada las necesidades académicas de la comunidad, permitiendo que los usuarios encuentren toda la información relevante para su formación?</t>
  </si>
  <si>
    <t xml:space="preserve">Calidad / utilidad de la
información académica publicada</t>
  </si>
  <si>
    <t xml:space="preserve">Pertinencia y relevancia de
la información publicada</t>
  </si>
  <si>
    <t xml:space="preserve">¿La información académica publicada en el portal web oficial de la IES (planes de estudio, sílabos, reglamentos, criterios de evaluación, programas especiales, guías de investigación o recursos docentes) es pertinente y útil para las actividades de estudio, investigación o docencia, permitiendo que los usuarios consulten contenidos que apoyen efectivamente sus actividades académicas?</t>
  </si>
  <si>
    <t xml:space="preserve">¿La información académica publicada en el portal web oficial de la IES (sílabos, planes de estudio, reglamentos, guías de investigación, recursos docentes) contribuye activamente a mejorar el aprendizaje, la investigación o la docencia, proporcionando herramientas, ejemplos o recursos que los usuarios pueden aplicar directamente en sus actividades académicas?</t>
  </si>
  <si>
    <t xml:space="preserve">¿Los contenidos académicos publicados en el portal web oficial de la IES (planes de estudio, sílabos, reglamentos, criterios de evaluación, guías, programas especiales) están disponibles en formatos que permitan un acceso rápido y directo, y su descarga sin inconvenientes técnicos, de manera que los usuarios puedan consultar y utilizar la información fácilmente?</t>
  </si>
  <si>
    <t xml:space="preserve">El formato en que se
publica la información</t>
  </si>
  <si>
    <t xml:space="preserve">Cumplimiento de criterios
de datos abiertos (disponible, accesible, interoperable, reutilizable)</t>
  </si>
  <si>
    <t xml:space="preserve">¿La información académica publicada en el portal web oficial de la IES se encuentra en formatos que permiten su fácil reutilización, es decir, archivos descargables que se pueden abrir, editar y procesar (por ejemplo, .csv, .xlsx, .docx), de manera que los usuarios puedan aprovechar la información según sus necesidades académicas o de investigación?</t>
  </si>
  <si>
    <t xml:space="preserve">¿La información académica publicada en el portal web oficial de la IES está disponible en formatos adecuados (por ejemplo, .pdf, .csv, .xlsx, .docx) y se puede acceder a ella sin restricciones innecesarias, es decir, sin requerir usuario privado, permisos especiales o software adicional que limite su uso?</t>
  </si>
  <si>
    <t xml:space="preserve">Claridad de la
información presentada</t>
  </si>
  <si>
    <t xml:space="preserve">Claridad de la información</t>
  </si>
  <si>
    <t xml:space="preserve">¿La información académica publicada en el portal web oficial de la IES está presentada de manera clara, estructurada y comprensible, con encabezados, secciones, tablas o diagramas que faciliten su lectura y entendimiento por la comunidad académica?</t>
  </si>
  <si>
    <t xml:space="preserve">¿La información académica publicada por la IES utiliza un lenguaje claro, sencillo y accesible, evitando jerga técnica innecesaria, términos ambiguos o complejidades que dificulten la comprensión por la comunidad académica?</t>
  </si>
  <si>
    <t xml:space="preserve">¿La información académica publicada en el portal web oficial de la IES (planes de estudio, sílabos, reglamentos, criterios de evaluación, programas especiales, guías de investigación) está organizada de manera lógica y coherente, de forma que los usuarios puedan seguir fácilmente la secuencia de contenidos y comprender la relación entre secciones, temas o documentos?</t>
  </si>
  <si>
    <t xml:space="preserve">INFORMACIÓN ACADÉMICA TRANSPARENCIA</t>
  </si>
  <si>
    <t xml:space="preserve">Transparencia en
Admisión y Matrícula</t>
  </si>
  <si>
    <t xml:space="preserve">Existencia de Publicidad,
criterios de selección, descripción del proceso de admisión y matricula.</t>
  </si>
  <si>
    <t xml:space="preserve">¿Los requisitos y el cronograma del proceso de admisión de la IES (documentos, formularios, fechas y pasos del proceso) están publicados en un lugar claramente visible en el portal web oficial, con enlaces funcionales, secciones destacadas y formatos accesibles que permitan a los usuarios consultarlos y descargarlos sin dificultad?</t>
  </si>
  <si>
    <t xml:space="preserve">¿El proceso de gestión de matrícula ordinaria y extraordinaria de la IES (pasos, requisitos, plazos y formularios) está claramente documentado en el portal web oficial, con instrucciones detalladas, enlaces funcionales y formatos accesibles, de manera que los usuarios puedan seguir el proceso sin dificultades?</t>
  </si>
  <si>
    <t xml:space="preserve">Transparencia en la
Evaluación</t>
  </si>
  <si>
    <t xml:space="preserve">Existen criterios específicos
(ej. rúbricas) con los que serán calificados mis trabajos o proyectos.</t>
  </si>
  <si>
    <t xml:space="preserve">¿La IES garantiza que las regulaciones y procedimientos internos de evaluación de cada asignatura (criterios de calificación, composición de notas, fechas de entrega y métodos de evaluación) estén publicados en el portal web oficial o comunicados formalmente para que los estudiantes antes de iniciar o a inicios del curso puedan consultarlos y comprenderlos claramente?</t>
  </si>
  <si>
    <t xml:space="preserve">¿La IES garantiza que los criterios específicos de evaluación de los trabajos o proyectos de cada asignatura (por ejemplo, rúbricas con indicadores, niveles de desempeño y ponderación de cada ítem) estén publicados en el portal web oficial o comunicados formalmente a los estudiantes, de manera que puedan conocer cómo será evaluado su desempeño durante todo el semestre?</t>
  </si>
  <si>
    <t xml:space="preserve">¿La IES publica el procedimiento para solicitar la revisión de calificaciones, incluyendo plazos, requisitos, formularios, responsables y canales de atención, de manera que los estudiantes puedan consultarlo y seguirlo conforme a sus derechos y los servicios ofrecidos por la institución?</t>
  </si>
  <si>
    <t xml:space="preserve">Transparencia en
Titulación y Graduación</t>
  </si>
  <si>
    <t xml:space="preserve">Existencia de criterios
asociados al proceso de titulación (tasas, plazos, normativa, derechos de grado, etc.) con suficiente antelación.</t>
  </si>
  <si>
    <t xml:space="preserve">¿El reglamento de titulación de la IES, incluyendo todas sus modalidades (tesis, proyectos, exámenes, trabajos especiales, etc.) y requisitos específicos para cada una, está publicado en el portal web institucional, con documentos descargables o secciones que permitan a los estudiantes consultarlo y revisar cada modalidad y requisito?</t>
  </si>
  <si>
    <t xml:space="preserve">¿La IES publica en el portal web oficial los costos asociados al proceso de titulación (tasas, derechos de grado, aranceles u otros pagos), incluyendo detalles de cada concepto y plazos de pago, de manera que los estudiantes puedan consultarlos con anticipación suficiente para planificar el proceso de titulación?</t>
  </si>
  <si>
    <t xml:space="preserve">INFORMACIÓN ACADÉMICA DIFUSIÓN DE RESULTADOS</t>
  </si>
  <si>
    <t xml:space="preserve">Resultados de Docencia
y Empleabilidad</t>
  </si>
  <si>
    <t xml:space="preserve">Publicación de información
de Inserción Laboral y Calidad de la Graduación.</t>
  </si>
  <si>
    <t xml:space="preserve">¿La IES publica en el portal web oficial información actualizada sobre resultados institucionales, incluyendo tasa de inserción laboral, tasas de empleo, desempeño de titulados y egresados, con documentos, informes o secciones?</t>
  </si>
  <si>
    <t xml:space="preserve">¿La IES publica en el portal web oficial los resultados de sus estudiantes en los exámenes de habilitación profesional de forma agregada, mostrando información estadística como porcentajes de aprobación, distribución de notas o desempeño general, sin revelar datos individuales?</t>
  </si>
  <si>
    <t xml:space="preserve">¿La IES publica en el portal web oficial información sobre el tiempo promedio que tardan los estudiantes en graduarse (una vez completado el pensum), incluyendo estadísticas por carrera o programa, de manera que la comunidad académica?</t>
  </si>
  <si>
    <t xml:space="preserve">Resultados de
Investigación y Producción Científica</t>
  </si>
  <si>
    <t xml:space="preserve">Visibilidad y Acceso a la
Producción Científica.</t>
  </si>
  <si>
    <t xml:space="preserve">¿El repositorio de investigación de la IES publica y permite consultar tesis, artículos y otros trabajos académicos, con enlaces funcionales, archivos descargables y organización estructurada por carrera, programa o área de investigación, de manera que la comunidad académica pueda acceder a los documentos sin requerir permisos especiales o usuarios privados?</t>
  </si>
  <si>
    <t xml:space="preserve">¿La IES publica un informe anual en su portal web oficial o plataformas institucionales que detalle la cantidad de artículos científicos que sus investigadores han publicado en revistas de alto impacto, incluyendo información como título del artículo, autores, revista y año de publicación, de manera que la comunidad académica pueda consultar y verificar la producción científica de la institución?</t>
  </si>
  <si>
    <t xml:space="preserve">¿La IES publica en su portal web oficial información sobre los proyectos de investigación financiados con fondos públicos, incluyendo detalles como título del proyecto, investigadores responsables, monto de financiamiento, institución financiadora y año, de manera que la comunidad académica pueda consultar y verificar los proyectos respaldados por recursos públicos?</t>
  </si>
  <si>
    <t xml:space="preserve">Resultados de
Vinculación y Transferencia de Conocimiento</t>
  </si>
  <si>
    <t xml:space="preserve">Existencia de información
publicada relativa a resultados de vinculación y transferencia de
conocimiento</t>
  </si>
  <si>
    <t xml:space="preserve">¿La IES publica en su portal web oficial informes sobre el impacto de sus proyectos de vinculación con la comunidad, incluyendo indicadores como por ejemplo el número de beneficiarios, tipo de actividades realizadas, duración de los proyectos y resultados alcanzados, de manera que la comunidad académica y externa pueda consultar y verificar los efectos de los proyectos?</t>
  </si>
  <si>
    <t xml:space="preserve">¿La IES publica en su portal web oficial un listado de los servicios, tecnologías o desarrollos que ha transferido a empresas o a la sociedad, donde se pueda ver detalles como tipo de servicio/tecnología, beneficiarios y año de transferencia?</t>
  </si>
  <si>
    <t xml:space="preserve">¿La IES publica un informe anual en su portal web oficial que detalle las horas de servicio comunitario realizadas por los estudiantes, incluyendo programas, actividades, beneficiarios y fechas, y que, al mismo tiempo, presente la participación de los docentes en proyectos de vinculación con la sociedad, indicando tipo de proyecto, actividades realizadas, beneficiarios y fechas, de manera que la comunidad académica y externa pueda consultar y verificar la contribución institucional a la sociedad?</t>
  </si>
  <si>
    <t xml:space="preserve">Resultados de la
Gestión de Calidad (Acreditación)</t>
  </si>
  <si>
    <t xml:space="preserve">Publicidad de los procesos
de Evaluación y Acreditación.</t>
  </si>
  <si>
    <t xml:space="preserve">¿La IES publica en su portal web oficial los resultados del último proceso de evaluación o acreditación institucional, realizado por un organismo externo?</t>
  </si>
  <si>
    <t xml:space="preserve">¿La IES publica en su portal web oficial el informe de autoevaluación institucional, incluyendo un detalle de sus fortalezas y debilidades?</t>
  </si>
  <si>
    <t xml:space="preserve">¿La IES publica en su portal web oficial información sobre las acciones que está tomando para corregir las debilidades señaladas en sus informes de calidad o autoevaluación?</t>
  </si>
  <si>
    <t xml:space="preserve">Información publicada
refleja información por cada período (Semestres, años), es decir se publica información y se actualiza para cada período.</t>
  </si>
  <si>
    <t xml:space="preserve">Cumplimiento en la
periodicidad de actualización de información</t>
  </si>
  <si>
    <t xml:space="preserve">¿La IES publica en su portal web oficial los resultados académicos de cada periodo, incluyendo información agregada como número de inscritos, egresados, promedios y tasas de aprobación, de manera que la comunidad pueda consultar y verificar la información actualizada?</t>
  </si>
  <si>
    <t xml:space="preserve">¿La IES publica en su portal web oficial un historial de resultados académicos por periodos, incluyendo información agregada como número de inscritos, egresados, promedios y tasas de aprobación?</t>
  </si>
  <si>
    <t xml:space="preserve">INFORMACIÓN ACADÉMICA SERVICIO AL ESTUDIANTE</t>
  </si>
  <si>
    <t xml:space="preserve">Bienestar y Apoyo
Económico (Becas)</t>
  </si>
  <si>
    <t xml:space="preserve">Publicidad de Criterios de
Selección para becas</t>
  </si>
  <si>
    <t xml:space="preserve">¿La IES publica en su portal web o canales oficiales los requisitos, criterios y puntajes necesarios para acceder a las becas?</t>
  </si>
  <si>
    <t xml:space="preserve">¿La IES publica en su portal web o canales digitales oficiales los resultados de las asignaciones de becas, es decir puntajes obtenidos y beneficiarios, de manera que la comunidad académica y externa pueda consultar y verificar que la asignación se realizó de forma transparente y conforme a los criterios establecidos?</t>
  </si>
  <si>
    <t xml:space="preserve">Infraestructura y
Recursos de Aprendizaje</t>
  </si>
  <si>
    <t xml:space="preserve">Disponibilidad de
Inventarios de Recursos</t>
  </si>
  <si>
    <t xml:space="preserve">¿La IES publica en su portal web o canales oficiales un listado actualizado de laboratorios y software disponibles para los estudiantes, indicando para cada laboratorio su ubicación dentro del campus, el área académica, finalidad o propósito, y para cada software las aplicaciones o funciones que se pueden utilizar, de manera que la comunidad académica pueda consultar y verificar los recursos disponibles y su uso dentro de la universidad?</t>
  </si>
  <si>
    <t xml:space="preserve">¿La IES publica en su portal web o canales oficiales los horarios de uso y manuales de funcionamiento de los espacios físicos y virtuales disponibles para los estudiantes?</t>
  </si>
  <si>
    <t xml:space="preserve">¿La IES publica en su portal web o en sus canales digitales oficiales información sobre la adquisición de nuevos recursos académicos, incluyendo libros, equipos, licencias de software y otros materiales, indicando fechas y características de los recursos, de manera que la comunidad académica pueda consultar y verificar la disponibilidad y actualización de los recursos?</t>
  </si>
  <si>
    <t xml:space="preserve">Acompañamiento y
Tutorías Académicas.</t>
  </si>
  <si>
    <t xml:space="preserve">Accesibilidad al Sistema de
Tutorías.</t>
  </si>
  <si>
    <t xml:space="preserve">¿La IES publica en su portal web oficial el procedimiento para solicitar tutorías académicas con los docentes, indicando pasos, requisitos, horarios y responsables, de manera que los estudiantes puedan consultar y seguir el proceso correctamente?</t>
  </si>
  <si>
    <t xml:space="preserve">¿La IES publica en su portal web o en sus canales digitales oficiales los horarios de atención o el contacto electrónico de los responsables académicos (coordinadores de carrera, jefes de departamento, etc), asegurando que la información esté actualizada y disponible para que los estudiantes puedan consultar y comunicarse con ellos?</t>
  </si>
  <si>
    <t xml:space="preserve">¿La IES dispone en su portal web o en sus canales digitales oficiales de un mecanismo para agendar o recibir asesorías académicas con los responsables académicos (coordinadores de carrera, jefes de departamento, tutores académicos, entre otros)?</t>
  </si>
  <si>
    <t xml:space="preserve">Canales de Ǫuejas y
Sugerencias (Voz Estudiantil).</t>
  </si>
  <si>
    <t xml:space="preserve">Existencia del Buzón de
Transparencia.</t>
  </si>
  <si>
    <t xml:space="preserve">¿La IES dispone de un portal web o buzón digital oficial para presentar quejas y sugerencias, así la comunidad académica y externa puede participar activamente y recibir respuestas?</t>
  </si>
  <si>
    <t xml:space="preserve">¿La IES publica en su portal web o canales digitales oficiales informes sobre las quejas recibidas, garantizando que los datos estén anonimizados y que se detalle cómo fueron atendidas y resueltas?</t>
  </si>
  <si>
    <t xml:space="preserve">¿La IES dispone de un canal digital o portal oficial para registrar y dar seguimiento a las sugerencias de la comunidad, mostrando evidencia de acciones implementadas para mejorar los servicios institucionales?</t>
  </si>
  <si>
    <t xml:space="preserve">INFORMACIÓN ACADÉMICA ACTUALIZACIÓN DE INFORMACIÓN</t>
  </si>
  <si>
    <t xml:space="preserve">Vigencia de la Oferta
Académica</t>
  </si>
  <si>
    <t xml:space="preserve">Existencia de información
que dé a conocer la vigencia de la oferta académica, además de un historial de publicaciones</t>
  </si>
  <si>
    <t xml:space="preserve">¿La IES publica en su portal web institucional los planes de estudio vigentes de sus carreras, y estos corresponden a los que actualmente se encuentran en ejecución?</t>
  </si>
  <si>
    <t xml:space="preserve">¿La IES publica en su portal web institucional los sílabos o programas de estudio actualizados correspondientes al período académico vigente?</t>
  </si>
  <si>
    <t xml:space="preserve">¿La IES publica información que permita identificar la fecha de actualización o reforma de los planes de estudio, incluyendo historial de cambios o versiones anteriores en su portal web institucional?</t>
  </si>
  <si>
    <t xml:space="preserve">Oportunidad en el
Calendario Académico</t>
  </si>
  <si>
    <t xml:space="preserve">Antelación de Publicación
de Fechas.</t>
  </si>
  <si>
    <t xml:space="preserve">¿La IES publica en su portal web institucional las fechas de matrícula y exámenes con antelación al inicio de cada período académico?</t>
  </si>
  <si>
    <t xml:space="preserve">¿La IES pone a disposición en su portal web institucional el calendario académico anual actualizado antes del inicio del primer período académico del año?</t>
  </si>
  <si>
    <t xml:space="preserve">¿La IES publica de manera oportuna en su portal web institucional cualquier cambio en las fechas académicas, incluyendo modificaciones en matrícula, exámenes u otras actividades?</t>
  </si>
  <si>
    <t xml:space="preserve">Actualización de la
Plantilla Docente</t>
  </si>
  <si>
    <t xml:space="preserve">Precisión del Directorio
Académico</t>
  </si>
  <si>
    <t xml:space="preserve">¿La IES publica en su portal web institucional información actualizada sobre la formación académica y trayectoria profesional de sus docentes?</t>
  </si>
  <si>
    <t xml:space="preserve">¿La IES publica en su portal web institucional los correos electrónicos u otros medios de contacto institucional de sus docentes, correspondientes al período académico vigente?</t>
  </si>
  <si>
    <t xml:space="preserve">Vigencia de la Normativa
Educativa</t>
  </si>
  <si>
    <t xml:space="preserve">Vigencia del Marco
Regulatorio</t>
  </si>
  <si>
    <t xml:space="preserve">¿La IES publica en su portal web institucional los reglamentos académicos vigentes (por ejemplo, régimen disciplinario, titulación), incluyendo sus versiones actualizadas o reformas más recientes?</t>
  </si>
  <si>
    <t xml:space="preserve">¿La IES incluye en los documentos normativos publicados en su portal web institucional información sobre la fecha de aprobación y entrada en vigor?</t>
  </si>
  <si>
    <t xml:space="preserve">¿La IES actualiza y publica en su portal web institucional su normativa académica conforme a cambios en la legislación nacional aplicable, evidenciando la fecha de actualización o reforma?</t>
  </si>
  <si>
    <t>puntaje_1</t>
  </si>
  <si>
    <t>puntaje_2</t>
  </si>
  <si>
    <t xml:space="preserve">COMUNICACIÓN Y RENDICIÓN DE CUENTAS</t>
  </si>
  <si>
    <t xml:space="preserve">Estrategia de
Comunicación Institucional</t>
  </si>
  <si>
    <t xml:space="preserve">Nivel de alineación de la
estrategia de comunicación con los principios de Gobierno Abierto</t>
  </si>
  <si>
    <t xml:space="preserve">¿La IES publica en su portal web o canales digitales oficiales su estrategia o plan de comunicación institucional, indicando cómo esta se alinea con los principios de transparencia y gobierno abierto?</t>
  </si>
  <si>
    <t xml:space="preserve">La IES publica en su portal web o canales digitales oficiales información sobre oportunidades para que la comunidad participe activamente, asegurando que la comunicación no se limite únicamente a la promoción de logros institucionales?</t>
  </si>
  <si>
    <t xml:space="preserve">¿La IES publica sus objetivos estratégicos en el portal web, redes institucionales, boletines u otros canales oficiales?</t>
  </si>
  <si>
    <t xml:space="preserve">¿La IES publica en su portal web o canales digitales oficiales información sobre el uso de recursos públicos, incluyendo presupuestos, informes de ejecución y gastos de proyectos?</t>
  </si>
  <si>
    <t xml:space="preserve">Frecuencia de Informes
Públicos</t>
  </si>
  <si>
    <t xml:space="preserve">Periodicidad de publicación
de informes de gestión en base a normativa vigente</t>
  </si>
  <si>
    <t xml:space="preserve">¿La IES mantiene actualizada la información en su portal de transparencia, incluyendo datos sobre gestión, recursos y resultados institucionales para asegurar la rendición de cuentas permanente?</t>
  </si>
  <si>
    <t xml:space="preserve">¿La IES mantiene actualizada toda la información publicada en su portal web, incluyendo eventos, reglamentos, resultados, recursos y otros contenidos institucionales, de manera que pueda ser utilizada como referencia confiable para la toma de decisiones de la comunidad académica y externa?</t>
  </si>
  <si>
    <t xml:space="preserve">¿La IES publica en su portal de transparencia la información institucional actualizada, cumpliendo el plazo obligatorio establecido por la LOTAIP de actualizarla mensualmente antes del día 10 del mes siguiente?</t>
  </si>
  <si>
    <t xml:space="preserve">Accesibilidad y Lenguaje
Ciudadano</t>
  </si>
  <si>
    <t xml:space="preserve">Grado de implementación
de "Lenguaje Claro" y estándares WCAG en la comunicación.</t>
  </si>
  <si>
    <t xml:space="preserve">¿Los informes institucionales de la IES, publicados en su portal web o canales digitales oficiales, están redactados en lenguaje claro y comprensible, es decir, que evita tecnicismos innecesarios, utiliza oraciones cortas, incluye definiciones de términos complejos y organiza la información con títulos, subtítulos o listas, facilitando que distintos públicos puedan entender el contenido sin ambigüedades?</t>
  </si>
  <si>
    <t xml:space="preserve">¿La IES pone a disposición de la comunidad la información institucional en formatos accesibles y utilizables, como archivos descargables (PDF, XLSX), infografías, documentos editables u otros formatos que permitan su consulta y reutilización?</t>
  </si>
  <si>
    <t xml:space="preserve">¿La IES ofrece en su portal web o canales digitales oficiales herramientas de accesibilidad, como lectores de pantalla, magnificación de texto, cambio de contraste, navegación por teclado, subtítulos, transcripciones de audio e interpretación en lengua de señas, que faciliten el acceso a personas con discapacidad visual o auditiva?</t>
  </si>
  <si>
    <t xml:space="preserve">Canales de Interacción y
Respuesta</t>
  </si>
  <si>
    <t xml:space="preserve">Existencia de respuesta
efectiva por canales oficiales (Redes sociales, buzones, chat).</t>
  </si>
  <si>
    <t xml:space="preserve">¿La IES dispone de canales oficiales en su portal web o medios digitales institucionales que permitan a estudiantes y ciudadanía realizar preguntas, plantear inquietudes o solicitar información?</t>
  </si>
  <si>
    <t xml:space="preserve">¿La IES ofrece medios oficiales de contacto para la comunidad que esten publicados en el portal o plataformas web oficiales, incluyendo correo electrónico institucional, redes sociales oficiales y su portal web, que permitan a estudiantes, docentes y ciudadanía comunicarse directamente con la institución?</t>
  </si>
  <si>
    <t xml:space="preserve">¿La IES, a través de sus canales oficiales (correo institucional, portal web o redes sociales), responde a las consultas o comentarios de la comunidad de manera que sea verificable que las respuestas: responden directamente a la consulta, incluyen información completa, usan lenguaje claro y comprensible e indican pasos o acciones a seguir cuando corresponda?</t>
  </si>
  <si>
    <t xml:space="preserve">¿La IES garantiza que las consultas y comentarios de la comunidad sean atendidos en los plazos legales establecidos por la LOTAIP (10 días hábiles, prorrogables hasta 15 días hábiles)?</t>
  </si>
  <si>
    <t xml:space="preserve">Participación en Actos
de Rendición</t>
  </si>
  <si>
    <t xml:space="preserve">Tipo de participación en
Actos de Rendición</t>
  </si>
  <si>
    <t xml:space="preserve">¿La IES organiza actividades oficiales de rendición de cuentas, como presentaciones, asambleas, webinars o informes públicos, para informar a estudiantes y ciudadanía sobre sus gestiones, decisiones y resultados institucionales?</t>
  </si>
  <si>
    <t xml:space="preserve">¿Durante los eventos de rendición de cuentas, la IES permite a estudiantes y ciudadanía realizar preguntas directas a las autoridades institucionales siendo documentadas y publicadas posteriormente (grabaciones, actas, formularios digitales, resúmenes) en el portal web o plataformas oficiales?</t>
  </si>
  <si>
    <t xml:space="preserve">¿Los espacios de rendición de cuentas de la IES incluyen mecanismos documentados que permitan la participación activa de estudiantes y ciudadanía (por ejemplo, sesiones de preguntas, formularios digitales, actas con intervenciones, grabaciones) y no se limitan únicamente a presentaciones informativas?</t>
  </si>
  <si>
    <t xml:space="preserve">¿La IES informa con antelación a la comunidad sobre sus eventos de rendición de cuentas, indicando fechas, horarios y modalidades (presenciales o virtuales) a través de canales oficiales como portal web, redes institucionales o boletines?</t>
  </si>
  <si>
    <t xml:space="preserve">Seguimiento y
cumplimiento de Compromisos</t>
  </si>
  <si>
    <t xml:space="preserve">Existencia de documentos que certifiquen el seguimiento y cumplimiento de compromisos</t>
  </si>
  <si>
    <t xml:space="preserve">¿La IES publica en su portal web o canales digitales oficiales informes sobre el cumplimiento de los compromisos asumidos ante la ciudadanía, incluyendo acciones realizadas, resultados obtenidos y plazos cumplidos?</t>
  </si>
  <si>
    <t xml:space="preserve">¿La IES publica en su portal web o canales digitales oficiales un informe o registro que detalle las acciones realizadas respecto a las sugerencias y quejas recibidas en la rendición de cuentas anterior?</t>
  </si>
  <si>
    <t xml:space="preserve">¿La IES pone a disposición de estudiantes y ciudadanía un portal web o herramienta oficial que permita consultar el estado de cumplimiento de sus compromisos institucionales, incluyendo acciones realizadas, plazos y resultados obtenidos?</t>
  </si>
  <si>
    <t xml:space="preserve">¿La IES documenta y publica evidencia de que las sugerencias de estudiantes y ciudadanía han sido consideradas para implementar cambios en decisiones, políticas o proyectos institucionales (por ejemplo, actas, informes de gestión o comunicados oficiales)?</t>
  </si>
  <si>
    <t xml:space="preserve">TRANSFORMACION DIGITAL</t>
  </si>
  <si>
    <t xml:space="preserve">Estrategia institucional de innovación y / o TD</t>
  </si>
  <si>
    <t xml:space="preserve">Nivel de Madurez de la Estrategia de Transformación Digital</t>
  </si>
  <si>
    <t xml:space="preserve">¿La IES cuenta con un plan o estrategia institucional de innovación y/o transformación digital, y pone a disposición de estudiantes, docentes y ciudadanía la información sobre este plan en un portal web o sitio oficial?</t>
  </si>
  <si>
    <t xml:space="preserve">¿La IES cuenta con un plan formal de transformación digital o innovación, y pone a disposición de estudiantes, docentes y ciudadanía la información sobre este plan en un portal web o sitio oficial?</t>
  </si>
  <si>
    <t xml:space="preserve">¿La IES cuenta con un equipo de liderazgo y personal técnico capacitado, con roles y responsabilidades definidos, encargado de diseñar e implementar estrategias de innovación y transformación digital, y pone a disposición de estudiantes, docentes y ciudadanía la información sobre sus funciones y competencias en un portal web o sitio oficial?</t>
  </si>
  <si>
    <t xml:space="preserve">¿La IES implementa cambios tecnológicos documentados que respondan a las necesidades de estudiantes, docentes y personal, y pone a disposición de la comunidad la información sobre estos cambios en un portal web oficial o mediante comunicación formal?</t>
  </si>
  <si>
    <t xml:space="preserve">Uso de TI para transparencia y acceso a información</t>
  </si>
  <si>
    <t xml:space="preserve">Usabilidad Tecnológica para la Transparencia (IUTT)</t>
  </si>
  <si>
    <t xml:space="preserve">¿La IES emplea herramientas tecnológicas avanzadas (Web 4.0 o superior) para mejorar la transparencia y el acceso a la información pública, y la información sobre su uso está publicada en un sitio web oficial?</t>
  </si>
  <si>
    <t xml:space="preserve">¿La IES ofrece un buscador en su portal web oficial que permita localizar información específica de manera rápida y sencilla, es decir, que muestre resultados relevantes en pocos segundos, tenga una interfaz intuitiva y accesible, permitiendo encontrar la información sin dificultad para estudiantes, docentes y ciudadanía?</t>
  </si>
  <si>
    <t xml:space="preserve">¿La IES pone a disposición de estudiantes, docentes y ciudadanía gráficos o tableros interactivos en sus plataformas oficiales que permitan visualizar y explorar los datos financieros de manera clara, comprensible y manipulable, incluyendo filtrado, desagregación o comparación de la información?</t>
  </si>
  <si>
    <t xml:space="preserve">¿La IES garantiza que su portal de transparencia sea accesible y totalmente funcional desde dispositivos móviles (teléfonos celulares o tabletas), incluyendo diseño responsivo, visibilidad correcta de todo el contenido, funcionalidad completa de enlaces y herramientas, y facilidad de navegación táctil?</t>
  </si>
  <si>
    <t xml:space="preserve">Datos abiertos e interoperabilidad</t>
  </si>
  <si>
    <t xml:space="preserve">Calidad de Datos Abiertos (Basado en el modelo de 5 estrellas de Tim Berners-Lee).</t>
  </si>
  <si>
    <t xml:space="preserve">¿La IES publica bases de datos relacionadas con información institucional y de gestión (por ejemplo, finanzas, proyectos, indicadores de desempeño, quejas y sugerencias, recursos disponibles) en formatos reutilizables como CSV, JSON, XLSX o mediante API abiertas, además de archivos PDF, y pone esta información a disposición en un portal web oficial o sitio institucional?</t>
  </si>
  <si>
    <t xml:space="preserve">¿La IES permite la descarga de datos abiertos publicados en su portal web oficial, incluyendo información institucional y de gestión (por ejemplo, finanzas, indicadores de desempeño, proyectos, quejas y sugerencias, recursos disponibles), para que los usuarios puedan realizar análisis o investigaciones propias?</t>
  </si>
  <si>
    <t xml:space="preserve">¿La IES publica información estructurada en su portal web oficial de manera que sea fácil de procesar y comprender, incluyendo criterios como organización clara por categorías, uso de tablas, gráficos o resúmenes visuales, y descripciones explicativas que permitan interpretar los datos correctamente?</t>
  </si>
  <si>
    <t xml:space="preserve">Innovación en servicios académicos</t>
  </si>
  <si>
    <t xml:space="preserve">Digitalización de Servicios Académicos de Extremo a Extremo.</t>
  </si>
  <si>
    <t xml:space="preserve">¿La IES proporciona plataformas de aprendizaje (LMS como Moodle o Canvas) y de gestión académica que sean funcionales (operativas y estables), compatibles con distintos dispositivos y con herramientas de accesibilidad y adecuadas para los usuarios, pone a disposición información sobre su uso en un portal web oficial o sitio institucional?</t>
  </si>
  <si>
    <t xml:space="preserve">¿La IES ha implementado herramientas digitales que permitan realizar procesos académicos y administrativos en línea, reduciendo el uso de papel y trámites presenciales, y pone a disposición información sobre estas iniciativas en un portal web oficial o sitio institucional?</t>
  </si>
  <si>
    <t xml:space="preserve">¿La IES ofrece canales de soporte digitales efectivos (por ejemplo, chat en vivo, sistemas de tickets o formularios de contacto) para resolver problemas técnicos en sus plataformas, y pone a disposición información sobre estos canales en un portal web oficial o sitio institucional, incluyendo instrucciones de uso y horarios de atención?</t>
  </si>
  <si>
    <t xml:space="preserve">cumple </t>
  </si>
  <si>
    <t xml:space="preserve">Mecanismos para evaluación de impacto de la innovación</t>
  </si>
  <si>
    <t xml:space="preserve">Índice de Efectividad y Retorno de Valor de la Innovación (IEVI).</t>
  </si>
  <si>
    <t xml:space="preserve">¿La IES recaba la opinión de los usuarios después de implementar nuevas herramientas o servicios digitales mediante mecanismos formalizados y documentados (encuestas, formularios u otros), con periodicidad definida y registro de resultados, y pone a disposición información sobre estos mecanismos en un portal web oficial o sitio institucional?</t>
  </si>
  <si>
    <t xml:space="preserve">¿La IES publica informes oficiales sobre los resultados, beneficios o ahorros logrados a partir de proyectos de innovación, incluyendo información cuantitativa o cualitativa, y pone estos informes a disposición en un portal web oficial o sitio institucional?</t>
  </si>
  <si>
    <t xml:space="preserve">¿La IES analiza datos de uso de sus plataformas digitales para implementar mejoras en los servicios, y pone a disposición información sobre estas prácticas y resultados en un portal web oficial o sitio institucional?</t>
  </si>
  <si>
    <t xml:space="preserve">ao cumple</t>
  </si>
  <si>
    <t xml:space="preserve">co cumple</t>
  </si>
  <si>
    <t xml:space="preserve">no cump0le</t>
  </si>
  <si>
    <t xml:space="preserve">io cumple</t>
  </si>
  <si>
    <t xml:space="preserve">no cumple parcialmente</t>
  </si>
  <si>
    <t>INVESTIGACION</t>
  </si>
  <si>
    <t xml:space="preserve">Política y planificación de la investigación</t>
  </si>
  <si>
    <t xml:space="preserve">Nivel de institucionalización y publicidad de la política de investigación.</t>
  </si>
  <si>
    <t xml:space="preserve">¿La IES publica en su portal web oficial información sobre sus líneas de investigación prioritarias para los próximos años, incluyendo su descripción, áreas temáticas y objetivos institucionales?</t>
  </si>
  <si>
    <t xml:space="preserve">¿La IES diseña y ejecuta su plan de investigación con base en diagnósticos, estudios del entorno o consultas con actores del sector social y productivo, y publica esta información en documentos o portales institucionales oficiales?</t>
  </si>
  <si>
    <t xml:space="preserve">¿La IES publica en su portal web oficial información sobre el presupuesto anual asignado a proyectos de investigación, incluyendo montos, fuentes de financiamiento o distribución del presupuesto?</t>
  </si>
  <si>
    <t xml:space="preserve">Gestión de la investigación</t>
  </si>
  <si>
    <t xml:space="preserve">Índice de Transparencia y Eficiencia en la Gestión de Fondos (ITEG).</t>
  </si>
  <si>
    <t xml:space="preserve">¿La IES publica en su portal web oficial los criterios, procedimientos y resultados del proceso de selección y asignación de fondos para proyectos de investigación?</t>
  </si>
  <si>
    <t xml:space="preserve">¿La IES dispone de plataformas digitales oficiales que permitan consultar información actualizada sobre los gastos y avances de los proyectos de investigación?</t>
  </si>
  <si>
    <t xml:space="preserve">¿La IES cuenta con procedimientos administrativos documentados que establezcan plazos para la compra de insumos de investigación, y pone a disposición esta información en normativa o protocolos institucionales publicados en el portal o plataformas web institucionales?</t>
  </si>
  <si>
    <t xml:space="preserve">Producción científica</t>
  </si>
  <si>
    <t xml:space="preserve">Repositorios con la producción científica de la IES</t>
  </si>
  <si>
    <t xml:space="preserve">¿La IES mantiene en un portal o repositorio institucional información accesible y actualizada sobre las publicaciones científicas de sus docentes, incluyendo títulos, autores, año de publicación, revista o medio de publicación y enlaces al documento cuando esté disponible?</t>
  </si>
  <si>
    <t xml:space="preserve">¿La IES cuenta con políticas o incentivos institucionales documentados que promuevan la publicación de investigaciones en revistas científicas de alto impacto indexadas en bases de datos reconocidas (por ejemplo, Scopus o Web of Science)?</t>
  </si>
  <si>
    <t xml:space="preserve">Difusión y transferencia del conocimiento</t>
  </si>
  <si>
    <t xml:space="preserve">Evidencias de las actividades, tareas de difusión y transferencia del conocimiento</t>
  </si>
  <si>
    <t xml:space="preserve">¿La IES implementa proyectos, programas o iniciativas basadas en los resultados de sus investigaciones para generar soluciones o mejoras en la comunidad local o regional, y publica información sobre estas acciones en informes o portales institucionales?</t>
  </si>
  <si>
    <t xml:space="preserve">¿La IES organiza y publica en su portal web o canales institucionales información sobre eventos de divulgación científica dirigidos a público no especializado, como ferias, charlas, talleres o jornadas abiertas?</t>
  </si>
  <si>
    <t xml:space="preserve">¿La IES cuenta con mecanismos institucionales documentados, como oficinas, unidades responsables o reglamentos, que regulen el registro de patentes y la protección de la propiedad intelectual, y publica esta información en su portal web o plataforma institucional?</t>
  </si>
  <si>
    <t xml:space="preserve">Vinculación entre investigación y docencia</t>
  </si>
  <si>
    <t xml:space="preserve">Existencia de Integración de resultados de investigación en los sílabos académicos.</t>
  </si>
  <si>
    <t xml:space="preserve">¿La IES promueve que los docentes utilicen los resultados de sus proyectos de investigación como material didáctico en las actividades de enseñanza, y esta práctica se evidencia en documentos institucionales, programas de asignatura o iniciativas académicas publicadas en canales oficiales?</t>
  </si>
  <si>
    <t xml:space="preserve">¿La IES ofrece oportunidades oficiales para que estudiantes de pregrado participen como auxiliares o asistentes en proyectos de investigación institucionales, y publica información sobre estas convocatorias o programas en su portal web o canales institucionales?</t>
  </si>
  <si>
    <t xml:space="preserve">¿La IES cuenta con mecanismos o procesos académicos que promuevan la actualización de los contenidos de las asignaturas incorporando resultados de investigaciones recientes realizadas por la institución, y esta información se refleja en programas de asignatura o documentos académicos institucionales?</t>
  </si>
  <si>
    <t xml:space="preserve">Ciencia abierta y acceso a la información científica</t>
  </si>
  <si>
    <t xml:space="preserve">Producción científica disponible en Acceso Abierto (Open Access).</t>
  </si>
  <si>
    <t xml:space="preserve">¿La IES cuenta con un repositorio digital institucional de acceso abierto donde se puedan consultar tesis, artículos científicos u otras publicaciones académicas?</t>
  </si>
  <si>
    <t xml:space="preserve">¿La IES permite el acceso gratuito a las investigaciones producidas por la institución (como tesis, artículos o proyectos de investigación) a través de su repositorio institucional u otras plataformas digitales oficiales?</t>
  </si>
  <si>
    <t xml:space="preserve">¿La IES cuenta con políticas o lineamientos institucionales que regulen o promuevan la publicación de los datos de investigación en formatos abiertos, y publica esta información en su portal web institucional?</t>
  </si>
  <si>
    <t xml:space="preserve">Ética y calidad en la investigación</t>
  </si>
  <si>
    <t xml:space="preserve">Cumplimiento de Estándares Éticos (ICEE).</t>
  </si>
  <si>
    <t xml:space="preserve">¿La IES publica en su portal web oficial información sobre la instancia o unidad institucional a la que se debe acudir en caso de detectar una falta ética o plagio en una investigación?</t>
  </si>
  <si>
    <t xml:space="preserve">¿La IES cuenta con un Comité de Ética en investigación, y publica en su portal web oficial información sobre su composición, funciones y procedimientos de actuación?</t>
  </si>
  <si>
    <t xml:space="preserve">¿La IES organiza capacitaciones o talleres sobre integridad científica y prevención del plagio dirigidos a investigadores y estudiantes, y publica información sobre estas actividades en su portal web o canales institucionales?</t>
  </si>
  <si>
    <t xml:space="preserve">Colaboración e internacionalización</t>
  </si>
  <si>
    <t xml:space="preserve">Coautoría Internacional y Redes de Cooperación.</t>
  </si>
  <si>
    <t xml:space="preserve">¿La IES mantiene convenios de investigación activos con universidades u organismos de otros países, y publica en su portal web oficial información sobre estos convenios, como las instituciones asociadas, objetivos o áreas de colaboración?</t>
  </si>
  <si>
    <t xml:space="preserve">¿La IES ofrece programas, convocatorias o apoyos (como becas o financiamiento) para que sus investigadores realicen estancias de investigación en el extranjero, y publica información sobre estas oportunidades en su portal web o canales institucionales oficiales?</t>
  </si>
  <si>
    <t xml:space="preserve">¿La IES desarrolla proyectos de investigación en colaboración con instituciones de otros países o sobre problemáticas de alcance internacional, y publica información sobre estos proyectos en su portal web o informes institucionales?</t>
  </si>
  <si>
    <t xml:space="preserve">¿La IES publica información sobre su producción científica en revistas indexadas en bases de datos internacionales (por ejemplo, Scopus o Web of Science), incluyendo indicadores como citaciones, métricas bibliométricas o reconocimientos académicos?</t>
  </si>
  <si>
    <t xml:space="preserve">NO CUMPLE</t>
  </si>
  <si>
    <t xml:space="preserve">CUMPLE PARCIALMENTE</t>
  </si>
  <si>
    <t>CUMPLE</t>
  </si>
  <si>
    <t xml:space="preserve">UMPLE PARCIALMENTE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</si>
</sst>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Aptos Narrow"/>
      <scheme val="minor"/>
    </font>
    <font>
      <sz val="12.000000"/>
      <color indexed="65"/>
      <name val="Tahoma"/>
    </font>
    <font>
      <sz val="12.000000"/>
      <color theme="1"/>
      <name val="Tahoma"/>
    </font>
    <font>
      <b/>
      <sz val="12.000000"/>
      <color indexed="65"/>
      <name val="Trebuchet MS"/>
    </font>
    <font>
      <sz val="12.000000"/>
      <color theme="1"/>
      <name val="Trebuchet MS"/>
    </font>
    <font>
      <u/>
      <sz val="12.000000"/>
      <color theme="1"/>
      <name val="Trebuchet MS"/>
    </font>
    <font>
      <sz val="12.000000"/>
      <color indexed="65"/>
      <name val="Trebuchet MS"/>
    </font>
    <font>
      <b/>
      <sz val="11.000000"/>
      <color theme="1"/>
      <name val="Aptos Narrow"/>
      <scheme val="minor"/>
    </font>
  </fonts>
  <fills count="8">
    <fill>
      <patternFill patternType="none"/>
    </fill>
    <fill>
      <patternFill patternType="gray125"/>
    </fill>
    <fill>
      <patternFill patternType="solid">
        <fgColor rgb="FF0A2F41"/>
      </patternFill>
    </fill>
    <fill>
      <patternFill patternType="solid">
        <fgColor rgb="FF002060"/>
      </patternFill>
    </fill>
    <fill>
      <patternFill patternType="solid">
        <fgColor theme="0"/>
      </patternFill>
    </fill>
    <fill>
      <patternFill patternType="solid">
        <fgColor theme="4" tint="0.79998168889431442"/>
      </patternFill>
    </fill>
    <fill>
      <patternFill patternType="solid">
        <fgColor indexed="5"/>
      </patternFill>
    </fill>
    <fill>
      <patternFill patternType="solid">
        <fgColor theme="0" tint="-0.14999847407452621"/>
        <bgColor theme="0" tint="-0.14999847407452621"/>
      </patternFill>
    </fill>
  </fills>
  <borders count="18">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none"/>
      <top style="none"/>
      <bottom style="thin">
        <color auto="1"/>
      </bottom>
      <diagonal style="none"/>
    </border>
    <border>
      <left style="none"/>
      <right style="none"/>
      <top style="thin">
        <color auto="1"/>
      </top>
      <bottom style="thin">
        <color auto="1"/>
      </bottom>
      <diagonal style="none"/>
    </border>
    <border>
      <left style="thin">
        <color auto="1"/>
      </left>
      <right style="thin">
        <color auto="1"/>
      </right>
      <top style="thin">
        <color auto="1"/>
      </top>
      <bottom style="none"/>
      <diagonal style="none"/>
    </border>
    <border>
      <left style="none"/>
      <right style="none"/>
      <top style="thin">
        <color auto="1"/>
      </top>
      <bottom style="none"/>
      <diagonal style="none"/>
    </border>
    <border>
      <left style="none"/>
      <right style="thin">
        <color auto="1"/>
      </right>
      <top style="none"/>
      <bottom style="thin">
        <color auto="1"/>
      </bottom>
      <diagonal style="none"/>
    </border>
    <border>
      <left style="thin">
        <color auto="1"/>
      </left>
      <right style="thin">
        <color auto="1"/>
      </right>
      <top style="none"/>
      <bottom style="thin">
        <color auto="1"/>
      </bottom>
      <diagonal style="none"/>
    </border>
    <border>
      <left style="none"/>
      <right style="thin">
        <color auto="1"/>
      </right>
      <top style="thin">
        <color auto="1"/>
      </top>
      <bottom style="none"/>
      <diagonal style="none"/>
    </border>
    <border>
      <left style="none"/>
      <right style="thin">
        <color auto="1"/>
      </right>
      <top style="thin">
        <color auto="1"/>
      </top>
      <bottom style="thin">
        <color theme="4" tint="0.39997558519241921"/>
      </bottom>
      <diagonal style="none"/>
    </border>
    <border>
      <left style="thin">
        <color auto="1"/>
      </left>
      <right style="thin">
        <color auto="1"/>
      </right>
      <top style="thin">
        <color auto="1"/>
      </top>
      <bottom style="thin">
        <color theme="4" tint="0.39997558519241921"/>
      </bottom>
      <diagonal style="none"/>
    </border>
    <border>
      <left style="none"/>
      <right style="thin">
        <color auto="1"/>
      </right>
      <top style="thin">
        <color auto="1"/>
      </top>
      <bottom style="thin">
        <color auto="1"/>
      </bottom>
      <diagonal style="none"/>
    </border>
    <border>
      <left style="thin">
        <color auto="1"/>
      </left>
      <right style="none"/>
      <top style="none"/>
      <bottom style="thin">
        <color auto="1"/>
      </bottom>
      <diagonal style="none"/>
    </border>
    <border>
      <left style="thin">
        <color auto="1"/>
      </left>
      <right style="none"/>
      <top style="thin">
        <color auto="1"/>
      </top>
      <bottom style="thin">
        <color auto="1"/>
      </bottom>
      <diagonal style="none"/>
    </border>
    <border>
      <left style="none"/>
      <right style="thin">
        <color auto="1"/>
      </right>
      <top style="none"/>
      <bottom style="none"/>
      <diagonal style="none"/>
    </border>
    <border>
      <left style="thin">
        <color auto="1"/>
      </left>
      <right style="thin">
        <color auto="1"/>
      </right>
      <top style="none"/>
      <bottom style="none"/>
      <diagonal style="none"/>
    </border>
    <border>
      <left style="thin">
        <color auto="1"/>
      </left>
      <right style="none"/>
      <top style="none"/>
      <bottom style="none"/>
      <diagonal style="none"/>
    </border>
    <border>
      <left style="thin">
        <color auto="1"/>
      </left>
      <right style="none"/>
      <top style="thin">
        <color auto="1"/>
      </top>
      <bottom style="none"/>
      <diagonal style="none"/>
    </border>
  </borders>
  <cellStyleXfs count="1">
    <xf fontId="0" fillId="0" borderId="0" numFmtId="0" applyNumberFormat="1" applyFont="1" applyFill="1" applyBorder="1"/>
  </cellStyleXfs>
  <cellXfs count="56">
    <xf fontId="0" fillId="0" borderId="0" numFmtId="0" xfId="0"/>
    <xf fontId="1" fillId="2" borderId="1" numFmtId="0" xfId="0" applyFont="1" applyFill="1" applyBorder="1" applyAlignment="1">
      <alignment horizontal="center" vertical="center" wrapText="1"/>
    </xf>
    <xf fontId="1" fillId="2" borderId="2" numFmtId="0" xfId="0" applyFont="1" applyFill="1" applyBorder="1" applyAlignment="1">
      <alignment horizontal="center" vertical="center" wrapText="1"/>
    </xf>
    <xf fontId="2" fillId="0" borderId="0" numFmtId="0" xfId="0" applyFont="1" applyAlignment="1">
      <alignment vertical="center"/>
    </xf>
    <xf fontId="3" fillId="3" borderId="0" numFmtId="0" xfId="0" applyFont="1" applyFill="1" applyAlignment="1">
      <alignment horizontal="center" vertical="center" wrapText="1"/>
    </xf>
    <xf fontId="4" fillId="0" borderId="1" numFmtId="0" xfId="0" applyFont="1" applyBorder="1"/>
    <xf fontId="4" fillId="0" borderId="1" numFmtId="0" xfId="0" applyFont="1" applyBorder="1" applyAlignment="1">
      <alignment vertical="center" wrapText="1"/>
    </xf>
    <xf fontId="4" fillId="0" borderId="1" numFmtId="0" xfId="0" applyFont="1" applyBorder="1" applyAlignment="1">
      <alignment horizontal="justify" vertical="center" wrapText="1"/>
    </xf>
    <xf fontId="4" fillId="4" borderId="3" numFmtId="0" xfId="0" applyFont="1" applyFill="1" applyBorder="1" applyAlignment="1">
      <alignment horizontal="center"/>
    </xf>
    <xf fontId="0" fillId="4" borderId="1" numFmtId="0" xfId="0" applyFill="1" applyBorder="1"/>
    <xf fontId="0" fillId="0" borderId="1" numFmtId="0" xfId="0" applyBorder="1"/>
    <xf fontId="0" fillId="5" borderId="1" numFmtId="0" xfId="0" applyFill="1" applyBorder="1"/>
    <xf fontId="0" fillId="5" borderId="0" numFmtId="0" xfId="0" applyFill="1"/>
    <xf fontId="4" fillId="4" borderId="1" numFmtId="0" xfId="0" applyFont="1" applyFill="1" applyBorder="1"/>
    <xf fontId="0" fillId="6" borderId="1" numFmtId="0" xfId="0" applyFill="1" applyBorder="1"/>
    <xf fontId="4" fillId="0" borderId="1" numFmtId="0" xfId="0" applyFont="1" applyBorder="1" applyAlignment="1">
      <alignment horizontal="center" vertical="center" wrapText="1"/>
    </xf>
    <xf fontId="4" fillId="0" borderId="4" numFmtId="0" xfId="0" applyFont="1" applyBorder="1"/>
    <xf fontId="4" fillId="7" borderId="1" numFmtId="0" xfId="0" applyFont="1" applyFill="1" applyBorder="1" applyAlignment="1">
      <alignment vertical="center" wrapText="1"/>
    </xf>
    <xf fontId="4" fillId="7" borderId="1" numFmtId="0" xfId="0" applyFont="1" applyFill="1" applyBorder="1" applyAlignment="1">
      <alignment horizontal="center" vertical="center" wrapText="1"/>
    </xf>
    <xf fontId="5" fillId="0" borderId="4" numFmtId="0" xfId="0" applyFont="1" applyBorder="1"/>
    <xf fontId="4" fillId="4" borderId="5" numFmtId="0" xfId="0" applyFont="1" applyFill="1" applyBorder="1" applyAlignment="1">
      <alignment horizontal="center"/>
    </xf>
    <xf fontId="6" fillId="2" borderId="6" numFmtId="0" xfId="0" applyFont="1" applyFill="1" applyBorder="1" applyAlignment="1">
      <alignment horizontal="center" vertical="center" wrapText="1"/>
    </xf>
    <xf fontId="6" fillId="2" borderId="7" numFmtId="0" xfId="0" applyFont="1" applyFill="1" applyBorder="1" applyAlignment="1">
      <alignment horizontal="center" vertical="center" wrapText="1"/>
    </xf>
    <xf fontId="6" fillId="2" borderId="1" numFmtId="0" xfId="0" applyFont="1" applyFill="1" applyBorder="1" applyAlignment="1">
      <alignment horizontal="center" vertical="center" wrapText="1"/>
    </xf>
    <xf fontId="4" fillId="4" borderId="8" numFmtId="0" xfId="0" applyFont="1" applyFill="1" applyBorder="1" applyAlignment="1">
      <alignment horizontal="center" vertical="center"/>
    </xf>
    <xf fontId="4" fillId="4" borderId="4" numFmtId="0" xfId="0" applyFont="1" applyFill="1" applyBorder="1" applyAlignment="1">
      <alignment vertical="center" wrapText="1"/>
    </xf>
    <xf fontId="4" fillId="4" borderId="4" numFmtId="0" xfId="0" applyFont="1" applyFill="1" applyBorder="1" applyAlignment="1">
      <alignment horizontal="justify" vertical="center" wrapText="1"/>
    </xf>
    <xf fontId="4" fillId="4" borderId="4" numFmtId="0" xfId="0" applyFont="1" applyFill="1" applyBorder="1"/>
    <xf fontId="4" fillId="4" borderId="1" numFmtId="0" xfId="0" applyFont="1" applyFill="1" applyBorder="1" applyAlignment="1">
      <alignment horizontal="center"/>
    </xf>
    <xf fontId="3" fillId="2" borderId="6" numFmtId="0" xfId="0" applyFont="1" applyFill="1" applyBorder="1" applyAlignment="1">
      <alignment horizontal="center" vertical="center" wrapText="1"/>
    </xf>
    <xf fontId="3" fillId="2" borderId="7" numFmtId="0" xfId="0" applyFont="1" applyFill="1" applyBorder="1" applyAlignment="1">
      <alignment horizontal="center" vertical="center" wrapText="1"/>
    </xf>
    <xf fontId="4" fillId="4" borderId="9" numFmtId="0" xfId="0" applyFont="1" applyFill="1" applyBorder="1" applyAlignment="1">
      <alignment horizontal="center" vertical="center"/>
    </xf>
    <xf fontId="4" fillId="4" borderId="10" numFmtId="0" xfId="0" applyFont="1" applyFill="1" applyBorder="1" applyAlignment="1">
      <alignment vertical="center" wrapText="1"/>
    </xf>
    <xf fontId="4" fillId="4" borderId="10" numFmtId="0" xfId="0" applyFont="1" applyFill="1" applyBorder="1" applyAlignment="1">
      <alignment horizontal="justify" vertical="center" wrapText="1"/>
    </xf>
    <xf fontId="4" fillId="4" borderId="1" numFmtId="0" xfId="0" applyFont="1" applyFill="1" applyBorder="1" applyAlignment="1">
      <alignment vertical="center"/>
    </xf>
    <xf fontId="4" fillId="4" borderId="1" numFmtId="0" xfId="0" applyFont="1" applyFill="1" applyBorder="1" applyAlignment="1">
      <alignment horizontal="center" vertical="center"/>
    </xf>
    <xf fontId="3" fillId="3" borderId="6" numFmtId="0" xfId="0" applyFont="1" applyFill="1" applyBorder="1" applyAlignment="1">
      <alignment horizontal="center" vertical="center" wrapText="1"/>
    </xf>
    <xf fontId="3" fillId="3" borderId="7" numFmtId="0" xfId="0" applyFont="1" applyFill="1" applyBorder="1" applyAlignment="1">
      <alignment horizontal="center" vertical="center" wrapText="1"/>
    </xf>
    <xf fontId="4" fillId="4" borderId="11" numFmtId="0" xfId="0" applyFont="1" applyFill="1" applyBorder="1" applyAlignment="1">
      <alignment horizontal="center" vertical="center"/>
    </xf>
    <xf fontId="4" fillId="4" borderId="1" numFmtId="0" xfId="0" applyFont="1" applyFill="1" applyBorder="1" applyAlignment="1">
      <alignment vertical="center" wrapText="1"/>
    </xf>
    <xf fontId="4" fillId="4" borderId="1" numFmtId="0" xfId="0" applyFont="1" applyFill="1" applyBorder="1" applyAlignment="1">
      <alignment horizontal="justify" vertical="center" wrapText="1"/>
    </xf>
    <xf fontId="4" fillId="4" borderId="4" numFmtId="0" xfId="0" applyFont="1" applyFill="1" applyBorder="1" applyAlignment="1">
      <alignment vertical="center"/>
    </xf>
    <xf fontId="4" fillId="4" borderId="4" numFmtId="0" xfId="0" applyFont="1" applyFill="1" applyBorder="1" applyAlignment="1">
      <alignment horizontal="center" vertical="center"/>
    </xf>
    <xf fontId="0" fillId="4" borderId="4" numFmtId="0" xfId="0" applyFill="1" applyBorder="1"/>
    <xf fontId="3" fillId="3" borderId="12" numFmtId="0" xfId="0" applyFont="1" applyFill="1" applyBorder="1" applyAlignment="1">
      <alignment horizontal="center" vertical="center" wrapText="1"/>
    </xf>
    <xf fontId="0" fillId="4" borderId="13" numFmtId="0" xfId="0" applyFill="1" applyBorder="1"/>
    <xf fontId="5" fillId="4" borderId="1" numFmtId="0" xfId="0" applyFont="1" applyFill="1" applyBorder="1" applyAlignment="1">
      <alignment horizontal="center" vertical="center"/>
    </xf>
    <xf fontId="4" fillId="4" borderId="14" numFmtId="0" xfId="0" applyFont="1" applyFill="1" applyBorder="1" applyAlignment="1">
      <alignment horizontal="center" vertical="center"/>
    </xf>
    <xf fontId="4" fillId="4" borderId="11" numFmtId="0" xfId="0" applyFont="1" applyFill="1" applyBorder="1" applyAlignment="1">
      <alignment vertical="center"/>
    </xf>
    <xf fontId="4" fillId="4" borderId="15" numFmtId="0" xfId="0" applyFont="1" applyFill="1" applyBorder="1" applyAlignment="1">
      <alignment vertical="center"/>
    </xf>
    <xf fontId="4" fillId="4" borderId="14" numFmtId="0" xfId="0" applyFont="1" applyFill="1" applyBorder="1" applyAlignment="1">
      <alignment vertical="center"/>
    </xf>
    <xf fontId="4" fillId="4" borderId="16" numFmtId="0" xfId="0" applyFont="1" applyFill="1" applyBorder="1" applyAlignment="1">
      <alignment vertical="center"/>
    </xf>
    <xf fontId="0" fillId="0" borderId="13" numFmtId="0" xfId="0" applyBorder="1"/>
    <xf fontId="7" fillId="0" borderId="1" numFmtId="0" xfId="0" applyFont="1" applyBorder="1"/>
    <xf fontId="0" fillId="0" borderId="4" numFmtId="0" xfId="0" applyBorder="1"/>
    <xf fontId="0" fillId="0" borderId="17" numFmtId="0" xfId="0" applyBorder="1"/>
  </cellXfs>
  <cellStyles count="1">
    <cellStyle name="Normal" xfId="0" builtinId="0"/>
  </cellStyles>
  <dxfs count="60">
    <dxf>
      <font>
        <b val="0"/>
        <i val="0"/>
        <strike val="0"/>
        <u val="none"/>
        <vertAlign val="baseline"/>
        <sz val="12.000000"/>
        <color theme="1"/>
        <name val="Trebuchet MS"/>
        <scheme val="none"/>
      </font>
      <alignment indent="0" readingOrder="0" relativeIndent="0" shrinkToFit="0" textRotation="0" vertical="center" wrapText="1"/>
      <border>
        <left style="none"/>
        <right style="thin">
          <color auto="1"/>
        </right>
        <top style="thin">
          <color auto="1"/>
        </top>
        <bottom style="thin">
          <color auto="1"/>
        </bottom>
        <diagonal/>
      </border>
    </dxf>
    <dxf>
      <font>
        <b val="0"/>
        <i val="0"/>
        <strike val="0"/>
        <u val="none"/>
        <vertAlign val="baseline"/>
        <sz val="12.000000"/>
        <color theme="1"/>
        <name val="Trebuchet MS"/>
        <scheme val="none"/>
      </font>
      <alignment horizontal="justify" indent="0" readingOrder="0" relativeIndent="0" shrinkToFit="0" textRotation="0" vertical="center" wrapText="1"/>
      <border>
        <left style="thin">
          <color auto="1"/>
        </left>
        <right style="thin">
          <color auto="1"/>
        </right>
        <top style="thin">
          <color auto="1"/>
        </top>
        <bottom style="thin">
          <color auto="1"/>
        </bottom>
        <diagonal/>
      </border>
    </dxf>
    <dxf>
      <font>
        <b val="0"/>
        <i val="0"/>
        <strike val="0"/>
        <u val="none"/>
        <vertAlign val="baseline"/>
        <sz val="12.000000"/>
        <color theme="1"/>
        <name val="Trebuchet MS"/>
        <scheme val="none"/>
      </font>
      <alignment horizontal="justify" indent="0" readingOrder="0" relativeIndent="0" shrinkToFit="0" textRotation="0" vertical="center" wrapText="1"/>
      <border>
        <left style="thin">
          <color auto="1"/>
        </left>
        <right style="thin">
          <color auto="1"/>
        </right>
        <top style="thin">
          <color auto="1"/>
        </top>
        <bottom style="thin">
          <color auto="1"/>
        </bottom>
        <diagonal/>
      </border>
    </dxf>
    <dxf>
      <font>
        <b val="0"/>
        <i val="0"/>
        <strike val="0"/>
        <u val="none"/>
        <vertAlign val="baseline"/>
        <sz val="12.000000"/>
        <color theme="1"/>
        <name val="Trebuchet MS"/>
        <scheme val="none"/>
      </font>
      <alignment horizontal="justify" indent="0" readingOrder="0" relativeIndent="0" shrinkToFit="0" textRotation="0" vertical="center" wrapText="1"/>
      <border>
        <left style="thin">
          <color auto="1"/>
        </left>
        <right style="thin">
          <color auto="1"/>
        </right>
        <top style="thin">
          <color auto="1"/>
        </top>
        <bottom style="thin">
          <color auto="1"/>
        </bottom>
        <diagonal/>
      </border>
    </dxf>
    <dxf>
      <font>
        <b val="0"/>
        <strike val="0"/>
        <u val="none"/>
        <vertAlign val="baseline"/>
        <sz val="12.000000"/>
        <name val="Trebuchet MS"/>
        <scheme val="none"/>
      </font>
      <border>
        <left style="thin">
          <color auto="1"/>
        </left>
        <right style="none"/>
        <top style="thin">
          <color auto="1"/>
        </top>
        <bottom style="thin">
          <color auto="1"/>
        </bottom>
        <diagonal/>
      </border>
    </dxf>
    <dxf>
      <font>
        <b val="0"/>
        <strike val="0"/>
        <u val="none"/>
        <vertAlign val="baseline"/>
        <sz val="12.000000"/>
        <name val="Trebuchet MS"/>
        <scheme val="none"/>
      </font>
    </dxf>
    <dxf>
      <fill>
        <patternFill patternType="solid">
          <fgColor theme="0"/>
          <bgColor theme="0"/>
        </patternFill>
      </fill>
      <border>
        <left style="thin">
          <color auto="1"/>
        </left>
        <right style="thin">
          <color auto="1"/>
        </right>
        <top style="thin">
          <color auto="1"/>
        </top>
        <bottom style="thin">
          <color auto="1"/>
        </bottom>
        <diagonal/>
      </border>
    </dxf>
    <dxf>
      <numFmt numFmtId="0" formatCode="General"/>
      <fill>
        <patternFill patternType="solid">
          <fgColor theme="0"/>
          <bgColor theme="0"/>
        </patternFill>
      </fill>
      <border>
        <left style="thin">
          <color auto="1"/>
        </left>
        <right style="thin">
          <color auto="1"/>
        </right>
        <top style="thin">
          <color auto="1"/>
        </top>
        <bottom style="thin">
          <color auto="1"/>
        </bottom>
        <diagonal/>
      </border>
    </dxf>
    <dxf>
      <numFmt numFmtId="0" formatCode="General"/>
      <fill>
        <patternFill patternType="solid">
          <fgColor theme="0"/>
          <bgColor theme="0"/>
        </patternFill>
      </fill>
      <border>
        <left style="thin">
          <color auto="1"/>
        </left>
        <right style="thin">
          <color auto="1"/>
        </right>
        <top style="thin">
          <color auto="1"/>
        </top>
        <bottom style="thin">
          <color auto="1"/>
        </bottom>
        <diagonal/>
      </border>
    </dxf>
    <dxf>
      <font>
        <b val="0"/>
        <i val="0"/>
        <strike val="0"/>
        <u val="none"/>
        <vertAlign val="baseline"/>
        <sz val="12.000000"/>
        <color theme="1"/>
        <name val="Trebuchet MS"/>
        <scheme val="none"/>
      </font>
      <fill>
        <patternFill patternType="solid">
          <fgColor theme="0"/>
          <bgColor theme="0"/>
        </patternFill>
      </fill>
      <alignment horizontal="center" indent="0" readingOrder="0" relativeIndent="0" shrinkToFit="0" textRotation="0" vertical="bottom" wrapText="0"/>
      <border>
        <left style="none"/>
        <right style="none"/>
        <top style="thin">
          <color auto="1"/>
        </top>
        <bottom style="thin">
          <color auto="1"/>
        </bottom>
        <diagonal/>
      </border>
    </dxf>
    <dxf>
      <font>
        <b val="0"/>
        <i val="0"/>
        <strike val="0"/>
        <u val="none"/>
        <vertAlign val="baseline"/>
        <sz val="12.000000"/>
        <color theme="1"/>
        <name val="Trebuchet MS"/>
        <scheme val="none"/>
      </font>
      <fill>
        <patternFill patternType="solid">
          <fgColor theme="0"/>
          <bgColor theme="0"/>
        </patternFill>
      </fill>
      <border>
        <left style="none"/>
        <right style="thin">
          <color auto="1"/>
        </right>
        <top style="thin">
          <color auto="1"/>
        </top>
        <bottom style="none"/>
        <diagonal/>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1"/>
      <border>
        <left style="thin">
          <color auto="1"/>
        </left>
        <right style="thin">
          <color auto="1"/>
        </right>
        <top style="thin">
          <color auto="1"/>
        </top>
        <bottom style="none"/>
        <diagonal/>
      </border>
    </dxf>
    <dxf>
      <font>
        <b val="0"/>
        <i val="0"/>
        <strike val="0"/>
        <u val="none"/>
        <vertAlign val="baseline"/>
        <sz val="12.000000"/>
        <color theme="1"/>
        <name val="Trebuchet MS"/>
        <scheme val="none"/>
      </font>
      <fill>
        <patternFill patternType="solid">
          <fgColor theme="0"/>
          <bgColor theme="0"/>
        </patternFill>
      </fill>
      <alignment horizontal="justify" indent="0" readingOrder="0" relativeIndent="0" shrinkToFit="0" textRotation="0" vertical="center" wrapText="1"/>
      <border>
        <left style="thin">
          <color auto="1"/>
        </left>
        <right style="thin">
          <color auto="1"/>
        </right>
        <top style="thin">
          <color auto="1"/>
        </top>
        <bottom style="none"/>
        <diagonal/>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1"/>
      <border>
        <left style="thin">
          <color auto="1"/>
        </left>
        <right style="thin">
          <color auto="1"/>
        </right>
        <top style="thin">
          <color auto="1"/>
        </top>
        <bottom style="none"/>
        <diagonal/>
      </border>
    </dxf>
    <dxf>
      <font>
        <b val="0"/>
        <i val="0"/>
        <strike val="0"/>
        <u val="none"/>
        <vertAlign val="baseline"/>
        <sz val="12.000000"/>
        <color theme="1"/>
        <name val="Trebuchet MS"/>
        <scheme val="none"/>
      </font>
      <fill>
        <patternFill patternType="solid">
          <fgColor theme="0"/>
          <bgColor theme="0"/>
        </patternFill>
      </fill>
      <alignment horizontal="justify" indent="0" readingOrder="0" relativeIndent="0" shrinkToFit="0" textRotation="0" vertical="center" wrapText="1"/>
      <border>
        <left style="thin">
          <color auto="1"/>
        </left>
        <right style="thin">
          <color auto="1"/>
        </right>
        <top style="thin">
          <color auto="1"/>
        </top>
        <bottom style="none"/>
        <diagonal/>
      </border>
    </dxf>
    <dxf>
      <font>
        <b val="0"/>
        <i val="0"/>
        <strike val="0"/>
        <u val="none"/>
        <vertAlign val="baseline"/>
        <sz val="12.000000"/>
        <color theme="1"/>
        <name val="Trebuchet MS"/>
        <scheme val="none"/>
      </font>
      <fill>
        <patternFill patternType="solid">
          <fgColor theme="0"/>
          <bgColor theme="0"/>
        </patternFill>
      </fill>
      <border>
        <left style="thin">
          <color auto="1"/>
        </left>
        <right style="thin">
          <color auto="1"/>
        </right>
        <top style="thin">
          <color auto="1"/>
        </top>
        <bottom style="none"/>
        <diagonal/>
      </border>
    </dxf>
    <dxf>
      <font>
        <b val="0"/>
        <i val="0"/>
        <strike val="0"/>
        <u val="none"/>
        <vertAlign val="baseline"/>
        <sz val="12.000000"/>
        <color theme="1"/>
        <name val="Trebuchet MS"/>
        <scheme val="none"/>
      </font>
      <numFmt numFmtId="0" formatCode="General"/>
      <fill>
        <patternFill patternType="solid">
          <fgColor theme="0"/>
          <bgColor theme="0"/>
        </patternFill>
      </fill>
      <alignment horizontal="center" indent="0" readingOrder="0" relativeIndent="0" shrinkToFit="0" textRotation="0" vertical="bottom" wrapText="0"/>
      <border>
        <left style="thin">
          <color auto="1"/>
        </left>
        <right style="thin">
          <color auto="1"/>
        </right>
        <top style="thin">
          <color auto="1"/>
        </top>
        <bottom style="thin">
          <color auto="1"/>
        </bottom>
        <diagonal/>
        <vertical style="thin">
          <color auto="1"/>
        </vertical>
        <horizontal style="thin">
          <color auto="1"/>
        </horizontal>
      </border>
    </dxf>
    <dxf>
      <fill>
        <patternFill patternType="solid">
          <fgColor theme="0"/>
          <bgColor theme="0"/>
        </patternFill>
      </fill>
      <border>
        <left style="thin">
          <color auto="1"/>
        </left>
        <right style="thin">
          <color auto="1"/>
        </right>
        <top style="thin">
          <color auto="1"/>
        </top>
        <bottom style="thin">
          <color auto="1"/>
        </bottom>
        <diagonal/>
        <vertical style="thin">
          <color auto="1"/>
        </vertical>
        <horizontal style="thin">
          <color auto="1"/>
        </horizontal>
      </border>
    </dxf>
    <dxf>
      <numFmt numFmtId="0" formatCode="General"/>
      <fill>
        <patternFill patternType="solid">
          <fgColor theme="0"/>
          <bgColor theme="0"/>
        </patternFill>
      </fill>
      <border>
        <left style="thin">
          <color auto="1"/>
        </left>
        <right style="thin">
          <color auto="1"/>
        </right>
        <top style="thin">
          <color auto="1"/>
        </top>
        <bottom style="thin">
          <color auto="1"/>
        </bottom>
        <diagonal/>
        <vertical style="thin">
          <color auto="1"/>
        </vertical>
        <horizontal style="thin">
          <color auto="1"/>
        </horizontal>
      </border>
    </dxf>
    <dxf>
      <numFmt numFmtId="0" formatCode="General"/>
      <fill>
        <patternFill patternType="solid">
          <fgColor theme="0"/>
          <bgColor theme="0"/>
        </patternFill>
      </fill>
      <border>
        <left style="thin">
          <color auto="1"/>
        </left>
        <right style="thin">
          <color auto="1"/>
        </right>
        <top style="thin">
          <color auto="1"/>
        </top>
        <bottom style="thin">
          <color auto="1"/>
        </bottom>
        <diagonal/>
        <vertical style="thin">
          <color auto="1"/>
        </vertical>
        <horizontal style="thin">
          <color auto="1"/>
        </horizontal>
      </border>
    </dxf>
    <dxf>
      <font>
        <b val="0"/>
        <i val="0"/>
        <strike val="0"/>
        <u val="none"/>
        <vertAlign val="baseline"/>
        <sz val="12.000000"/>
        <color theme="1"/>
        <name val="Trebuchet MS"/>
        <scheme val="none"/>
      </font>
      <fill>
        <patternFill patternType="solid">
          <fgColor theme="0"/>
          <bgColor theme="0"/>
        </patternFill>
      </fill>
      <alignment horizontal="center" indent="0" readingOrder="0" relativeIndent="0" shrinkToFit="0" textRotation="0" vertical="center" wrapText="0"/>
      <border>
        <left style="none"/>
        <right style="thin">
          <color auto="1"/>
        </right>
        <top style="thin">
          <color auto="1"/>
        </top>
        <bottom style="thin">
          <color theme="4" tint="0.3999755851924192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1"/>
      <border>
        <left style="thin">
          <color auto="1"/>
        </left>
        <right style="thin">
          <color auto="1"/>
        </right>
        <top style="thin">
          <color auto="1"/>
        </top>
        <bottom style="thin">
          <color theme="4" tint="0.3999755851924192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horizontal="justify" indent="0" readingOrder="0" relativeIndent="0" shrinkToFit="0" textRotation="0" vertical="center" wrapText="1"/>
      <border>
        <left style="thin">
          <color auto="1"/>
        </left>
        <right style="thin">
          <color auto="1"/>
        </right>
        <top style="thin">
          <color auto="1"/>
        </top>
        <bottom style="thin">
          <color theme="4" tint="0.3999755851924192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1"/>
      <border>
        <left style="thin">
          <color auto="1"/>
        </left>
        <right style="thin">
          <color auto="1"/>
        </right>
        <top style="thin">
          <color auto="1"/>
        </top>
        <bottom style="thin">
          <color theme="4" tint="0.3999755851924192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horizontal="justify" indent="0" readingOrder="0" relativeIndent="0" shrinkToFit="0" textRotation="0" vertical="center" wrapText="1"/>
      <border>
        <left style="thin">
          <color auto="1"/>
        </left>
        <right style="thin">
          <color auto="1"/>
        </right>
        <top style="thin">
          <color auto="1"/>
        </top>
        <bottom style="thin">
          <color theme="4" tint="0.39997558519241921"/>
        </bottom>
        <diagonal/>
        <vertical style="none"/>
        <horizontal style="none"/>
      </border>
    </dxf>
    <dxf>
      <fill>
        <patternFill patternType="solid">
          <fgColor theme="0"/>
          <bgColor theme="0"/>
        </patternFill>
      </fill>
      <border>
        <left style="thin">
          <color auto="1"/>
        </left>
        <right style="thin">
          <color auto="1"/>
        </right>
        <top style="thin">
          <color auto="1"/>
        </top>
        <bottom style="thin">
          <color auto="1"/>
        </bottom>
        <diagonal/>
        <vertical style="thin">
          <color auto="1"/>
        </vertical>
        <horizontal style="thin">
          <color auto="1"/>
        </horizontal>
      </border>
    </dxf>
    <dxf>
      <fill>
        <patternFill patternType="solid">
          <fgColor theme="0"/>
          <bgColor theme="0"/>
        </patternFill>
      </fill>
      <border>
        <left style="thin">
          <color auto="1"/>
        </left>
        <right style="thin">
          <color auto="1"/>
        </right>
        <top style="thin">
          <color auto="1"/>
        </top>
        <bottom style="thin">
          <color auto="1"/>
        </bottom>
        <diagonal/>
        <vertical style="thin">
          <color auto="1"/>
        </vertical>
        <horizontal style="thin">
          <color auto="1"/>
        </horizontal>
      </border>
    </dxf>
    <dxf>
      <fill>
        <patternFill patternType="solid">
          <fgColor theme="0"/>
          <bgColor theme="0"/>
        </patternFill>
      </fill>
      <border>
        <left style="thin">
          <color auto="1"/>
        </left>
        <right style="thin">
          <color auto="1"/>
        </right>
        <top style="thin">
          <color auto="1"/>
        </top>
        <bottom style="thin">
          <color auto="1"/>
        </bottom>
        <diagonal/>
        <vertical style="thin">
          <color auto="1"/>
        </vertical>
        <horizontal style="thin">
          <color auto="1"/>
        </horizontal>
      </border>
    </dxf>
    <dxf>
      <numFmt numFmtId="0" formatCode="General"/>
      <fill>
        <patternFill patternType="solid">
          <fgColor theme="0"/>
          <bgColor theme="0"/>
        </patternFill>
      </fill>
      <border>
        <left style="thin">
          <color auto="1"/>
        </left>
        <right style="thin">
          <color auto="1"/>
        </right>
        <top style="thin">
          <color auto="1"/>
        </top>
        <bottom style="thin">
          <color auto="1"/>
        </bottom>
        <diagonal/>
        <vertical style="thin">
          <color auto="1"/>
        </vertical>
        <horizontal style="thin">
          <color auto="1"/>
        </horizontal>
      </border>
    </dxf>
    <dxf>
      <numFmt numFmtId="0" formatCode="General"/>
      <fill>
        <patternFill patternType="solid">
          <fgColor theme="0"/>
          <bgColor theme="0"/>
        </patternFill>
      </fill>
      <border>
        <left style="thin">
          <color auto="1"/>
        </left>
        <right style="thin">
          <color auto="1"/>
        </right>
        <top style="thin">
          <color auto="1"/>
        </top>
        <bottom style="thin">
          <color auto="1"/>
        </bottom>
        <diagonal/>
        <vertical style="thin">
          <color auto="1"/>
        </vertical>
        <horizontal style="thin">
          <color auto="1"/>
        </horizontal>
      </border>
    </dxf>
    <dxf>
      <font>
        <b val="0"/>
        <i val="0"/>
        <strike val="0"/>
        <u val="none"/>
        <vertAlign val="baseline"/>
        <sz val="12.000000"/>
        <color theme="1"/>
        <name val="Trebuchet MS"/>
        <scheme val="none"/>
      </font>
      <fill>
        <patternFill patternType="solid">
          <fgColor theme="0"/>
          <bgColor theme="0"/>
        </patternFill>
      </fill>
      <alignment horizontal="center" indent="0" readingOrder="0" relativeIndent="0" shrinkToFit="0" textRotation="0" vertical="center" wrapText="0"/>
      <border>
        <left style="none"/>
        <right style="thin">
          <color auto="1"/>
        </right>
        <top style="thin">
          <color auto="1"/>
        </top>
        <bottom style="thin">
          <color auto="1"/>
        </bottom>
        <diagonal/>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1"/>
      <border>
        <left style="thin">
          <color auto="1"/>
        </left>
        <right style="thin">
          <color auto="1"/>
        </right>
        <top style="thin">
          <color auto="1"/>
        </top>
        <bottom style="thin">
          <color auto="1"/>
        </bottom>
        <diagonal/>
      </border>
    </dxf>
    <dxf>
      <font>
        <b val="0"/>
        <i val="0"/>
        <strike val="0"/>
        <u val="none"/>
        <vertAlign val="baseline"/>
        <sz val="12.000000"/>
        <color theme="1"/>
        <name val="Trebuchet MS"/>
        <scheme val="none"/>
      </font>
      <fill>
        <patternFill patternType="solid">
          <fgColor theme="0"/>
          <bgColor theme="0"/>
        </patternFill>
      </fill>
      <alignment horizontal="justify" indent="0" readingOrder="0" relativeIndent="0" shrinkToFit="0" textRotation="0" vertical="center" wrapText="1"/>
      <border>
        <left style="thin">
          <color auto="1"/>
        </left>
        <right style="thin">
          <color auto="1"/>
        </right>
        <top style="thin">
          <color auto="1"/>
        </top>
        <bottom style="thin">
          <color auto="1"/>
        </bottom>
        <diagonal/>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1"/>
      <border>
        <left style="thin">
          <color auto="1"/>
        </left>
        <right style="thin">
          <color auto="1"/>
        </right>
        <top style="thin">
          <color auto="1"/>
        </top>
        <bottom style="thin">
          <color auto="1"/>
        </bottom>
        <diagonal/>
      </border>
    </dxf>
    <dxf>
      <font>
        <b val="0"/>
        <i val="0"/>
        <strike val="0"/>
        <u val="none"/>
        <vertAlign val="baseline"/>
        <sz val="12.000000"/>
        <color theme="1"/>
        <name val="Trebuchet MS"/>
        <scheme val="none"/>
      </font>
      <fill>
        <patternFill patternType="solid">
          <fgColor theme="0"/>
          <bgColor theme="0"/>
        </patternFill>
      </fill>
      <alignment horizontal="justify" indent="0" readingOrder="0" relativeIndent="0" shrinkToFit="0" textRotation="0" vertical="center" wrapText="1"/>
      <border>
        <left style="thin">
          <color auto="1"/>
        </left>
        <right style="thin">
          <color auto="1"/>
        </right>
        <top style="thin">
          <color auto="1"/>
        </top>
        <bottom style="thin">
          <color auto="1"/>
        </bottom>
        <diagonal/>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0"/>
      <border>
        <left style="thin">
          <color auto="1"/>
        </left>
        <right style="thin">
          <color auto="1"/>
        </right>
        <top style="thin">
          <color auto="1"/>
        </top>
        <bottom style="thin">
          <color auto="1"/>
        </bottom>
        <diagonal/>
      </border>
    </dxf>
    <dxf>
      <font>
        <b val="0"/>
        <i val="0"/>
        <strike val="0"/>
        <u val="none"/>
        <vertAlign val="baseline"/>
        <sz val="12.000000"/>
        <color theme="1"/>
        <name val="Trebuchet MS"/>
        <scheme val="none"/>
      </font>
      <fill>
        <patternFill patternType="solid">
          <fgColor theme="0"/>
          <bgColor theme="0"/>
        </patternFill>
      </fill>
      <alignment horizontal="center" indent="0" readingOrder="0" relativeIndent="0" shrinkToFit="0" textRotation="0" vertical="center" wrapText="0"/>
      <border>
        <left style="thin">
          <color auto="1"/>
        </left>
        <right style="thin">
          <color auto="1"/>
        </right>
        <top style="thin">
          <color auto="1"/>
        </top>
        <bottom style="thin">
          <color auto="1"/>
        </bottom>
        <diagonal/>
      </border>
    </dxf>
    <dxf>
      <fill>
        <patternFill patternType="solid">
          <fgColor theme="0"/>
          <bgColor theme="0"/>
        </patternFill>
      </fill>
      <border>
        <left style="thin">
          <color auto="1"/>
        </left>
        <right style="thin">
          <color auto="1"/>
        </right>
        <top style="thin">
          <color auto="1"/>
        </top>
        <bottom style="thin">
          <color auto="1"/>
        </bottom>
        <diagonal/>
      </border>
    </dxf>
    <dxf>
      <numFmt numFmtId="0" formatCode="General"/>
      <fill>
        <patternFill patternType="solid">
          <fgColor theme="0"/>
          <bgColor theme="0"/>
        </patternFill>
      </fill>
      <border>
        <left style="thin">
          <color auto="1"/>
        </left>
        <right style="thin">
          <color auto="1"/>
        </right>
        <top style="thin">
          <color auto="1"/>
        </top>
        <bottom style="thin">
          <color auto="1"/>
        </bottom>
        <diagonal/>
      </border>
    </dxf>
    <dxf>
      <numFmt numFmtId="0" formatCode="General"/>
      <fill>
        <patternFill patternType="solid">
          <fgColor theme="0"/>
          <bgColor theme="0"/>
        </patternFill>
      </fill>
      <border>
        <left style="thin">
          <color auto="1"/>
        </left>
        <right style="thin">
          <color auto="1"/>
        </right>
        <top style="thin">
          <color auto="1"/>
        </top>
        <bottom style="thin">
          <color auto="1"/>
        </bottom>
        <diagonal/>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0"/>
      <border>
        <left style="none"/>
        <right style="thin">
          <color auto="1"/>
        </right>
        <top style="none"/>
        <bottom style="none"/>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1"/>
      <border>
        <left style="thin">
          <color auto="1"/>
        </left>
        <right style="thin">
          <color auto="1"/>
        </right>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horizontal="justify" indent="0" readingOrder="0" relativeIndent="0" shrinkToFit="0" textRotation="0" vertical="center" wrapText="1"/>
      <border>
        <left style="thin">
          <color auto="1"/>
        </left>
        <right style="thin">
          <color auto="1"/>
        </right>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1"/>
      <border>
        <left style="thin">
          <color auto="1"/>
        </left>
        <right style="thin">
          <color auto="1"/>
        </right>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horizontal="justify" indent="0" readingOrder="0" relativeIndent="0" shrinkToFit="0" textRotation="0" vertical="center" wrapText="1"/>
      <border>
        <left style="thin">
          <color auto="1"/>
        </left>
        <right style="thin">
          <color auto="1"/>
        </right>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0"/>
      <border>
        <left style="thin">
          <color auto="1"/>
        </left>
        <right style="none"/>
        <top style="none"/>
        <bottom style="none"/>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border>
        <left style="thin">
          <color auto="1"/>
        </left>
        <right style="thin">
          <color auto="1"/>
        </right>
        <top style="thin">
          <color auto="1"/>
        </top>
        <bottom style="thin">
          <color auto="1"/>
        </bottom>
        <diagonal/>
        <vertical style="none"/>
        <horizontal style="none"/>
      </border>
    </dxf>
    <dxf>
      <fill>
        <patternFill patternType="solid">
          <fgColor theme="0"/>
          <bgColor theme="0"/>
        </patternFill>
      </fill>
      <border>
        <left style="thin">
          <color auto="1"/>
        </left>
        <right style="thin">
          <color auto="1"/>
        </right>
        <top style="thin">
          <color auto="1"/>
        </top>
        <bottom style="thin">
          <color auto="1"/>
        </bottom>
        <diagonal/>
        <vertical style="none"/>
        <horizontal style="none"/>
      </border>
    </dxf>
    <dxf>
      <fill>
        <patternFill patternType="solid">
          <fgColor theme="0"/>
          <bgColor theme="0"/>
        </patternFill>
      </fill>
      <border>
        <left style="thin">
          <color auto="1"/>
        </left>
        <right style="none"/>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horizontal="center" indent="0" readingOrder="0" relativeIndent="0" shrinkToFit="0" textRotation="0" vertical="center" wrapText="0"/>
      <border>
        <left style="none"/>
        <right style="thin">
          <color auto="1"/>
        </right>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1"/>
      <border>
        <left style="thin">
          <color auto="1"/>
        </left>
        <right style="thin">
          <color auto="1"/>
        </right>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horizontal="justify" indent="0" readingOrder="0" relativeIndent="0" shrinkToFit="0" textRotation="0" vertical="center" wrapText="1"/>
      <border>
        <left style="thin">
          <color auto="1"/>
        </left>
        <right style="thin">
          <color auto="1"/>
        </right>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1"/>
      <border>
        <left style="thin">
          <color auto="1"/>
        </left>
        <right style="thin">
          <color auto="1"/>
        </right>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horizontal="justify" indent="0" readingOrder="0" relativeIndent="0" shrinkToFit="0" textRotation="0" vertical="center" wrapText="1"/>
      <border>
        <left style="thin">
          <color auto="1"/>
        </left>
        <right style="thin">
          <color auto="1"/>
        </right>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val="0"/>
        <i val="0"/>
        <strike val="0"/>
        <u val="none"/>
        <vertAlign val="baseline"/>
        <sz val="12.000000"/>
        <color theme="1"/>
        <name val="Trebuchet MS"/>
        <scheme val="none"/>
      </font>
      <fill>
        <patternFill patternType="solid">
          <fgColor theme="0"/>
          <bgColor theme="0"/>
        </patternFill>
      </fill>
      <alignment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ill>
        <patternFill patternType="solid">
          <fgColor theme="0"/>
          <bgColor theme="0"/>
        </patternFill>
      </fill>
      <border>
        <left style="thin">
          <color auto="1"/>
        </left>
        <right style="thin">
          <color auto="1"/>
        </right>
        <top style="thin">
          <color auto="1"/>
        </top>
        <bottom style="thin">
          <color auto="1"/>
        </bottom>
        <diagonal/>
        <vertical style="none"/>
        <horizontal style="none"/>
      </border>
    </dxf>
    <dxf>
      <numFmt numFmtId="0" formatCode="General"/>
      <border>
        <left style="thin">
          <color auto="1"/>
        </left>
        <right style="none"/>
        <top style="thin">
          <color auto="1"/>
        </top>
        <bottom style="thin">
          <color auto="1"/>
        </bottom>
        <diagonal/>
        <vertical style="none"/>
        <horizontal style="none"/>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a2" ref="B1:F65">
  <autoFilter ref="B1:F65"/>
  <tableColumns count="5">
    <tableColumn id="1" name="dimensión" dataDxfId="0"/>
    <tableColumn id="2" name="variable" dataDxfId="1"/>
    <tableColumn id="3" name="indicador" dataDxfId="2"/>
    <tableColumn id="4" name="pregunta" dataDxfId="3"/>
    <tableColumn id="5" name="criterio" dataDxfId="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la3" ref="A1:A449">
  <autoFilter ref="A1:A449"/>
  <tableColumns count="1">
    <tableColumn id="1" name="eis" dataDxfId="5"/>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la57" ref="H1:J448">
  <autoFilter ref="H1:J448"/>
  <tableColumns count="3">
    <tableColumn id="1" name="evaluador " dataDxfId="6"/>
    <tableColumn id="2" name="puntaje 2" dataDxfId="7"/>
    <tableColumn id="3" name="promedio" dataDxfId="8"/>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la7" ref="G1:G449">
  <autoFilter ref="G1:G449"/>
  <tableColumns count="1">
    <tableColumn id="1" name="puntaje 1" dataDxf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Tabla1" ref="A1:J323">
  <autoFilter ref="A1:J323"/>
  <tableColumns count="10">
    <tableColumn id="1" name="eis" dataDxfId="10"/>
    <tableColumn id="2" name="dimensión" dataDxfId="11"/>
    <tableColumn id="3" name="variable" dataDxfId="12"/>
    <tableColumn id="4" name="indicador" dataDxfId="13"/>
    <tableColumn id="5" name="pregunta" dataDxfId="14"/>
    <tableColumn id="6" name="criterio" dataDxfId="15"/>
    <tableColumn id="7" name="puntaje" dataDxfId="16"/>
    <tableColumn id="8" name="evaluador" dataDxfId="17"/>
    <tableColumn id="9" name="puntaje 2" dataDxfId="18"/>
    <tableColumn id="10" name="promedio " dataDxfId="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Tabla4" ref="A3:J395">
  <autoFilter ref="A3:J395"/>
  <tableColumns count="10">
    <tableColumn id="1" name="eis" dataDxfId="20"/>
    <tableColumn id="2" name="dimensión" dataDxfId="21"/>
    <tableColumn id="3" name="variable" dataDxfId="22"/>
    <tableColumn id="4" name="indicador" dataDxfId="23"/>
    <tableColumn id="5" name="pregunta" dataDxfId="24"/>
    <tableColumn id="6" name="criterio" dataDxfId="25"/>
    <tableColumn id="7" name="puntaje" dataDxfId="26"/>
    <tableColumn id="8" name="evaluador" dataDxfId="27"/>
    <tableColumn id="9" name="puntaje 2" dataDxfId="28"/>
    <tableColumn id="10" name="promedio " dataDxfId="2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Tabla5" ref="A2:J156">
  <autoFilter ref="A2:J156"/>
  <tableColumns count="10">
    <tableColumn id="1" name="eis" dataDxfId="30"/>
    <tableColumn id="2" name="dimensión" dataDxfId="31"/>
    <tableColumn id="3" name="variable" dataDxfId="32"/>
    <tableColumn id="4" name="indicador" dataDxfId="33"/>
    <tableColumn id="5" name="pregunta" dataDxfId="34"/>
    <tableColumn id="6" name="criterio" dataDxfId="35"/>
    <tableColumn id="7" name="puntaje_1" dataDxfId="36"/>
    <tableColumn id="8" name="evaluador" dataDxfId="37"/>
    <tableColumn id="9" name="puntaje_2" dataDxfId="38"/>
    <tableColumn id="10" name="promedio" dataDxfId="39"/>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displayName="Tabla9" ref="A2:J121">
  <autoFilter ref="A2:J121"/>
  <tableColumns count="10">
    <tableColumn id="1" name="eis" dataDxfId="40"/>
    <tableColumn id="2" name="dimensión" dataDxfId="41"/>
    <tableColumn id="3" name="variable" dataDxfId="42"/>
    <tableColumn id="4" name="indicador" dataDxfId="43"/>
    <tableColumn id="5" name="pregunta" dataDxfId="44"/>
    <tableColumn id="6" name="criterio" dataDxfId="45"/>
    <tableColumn id="7" name="puntaje_1" dataDxfId="46"/>
    <tableColumn id="8" name="evaluador" dataDxfId="47"/>
    <tableColumn id="9" name="puntaje_2" dataDxfId="48"/>
    <tableColumn id="10" name="promedio" dataDxfId="4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displayName="Tabla10" ref="A1:J168">
  <autoFilter ref="A1:J168"/>
  <tableColumns count="10">
    <tableColumn id="1" name="eis" dataDxfId="50"/>
    <tableColumn id="2" name="dimensión" dataDxfId="51"/>
    <tableColumn id="3" name="variable" dataDxfId="52"/>
    <tableColumn id="4" name="indicador" dataDxfId="53"/>
    <tableColumn id="5" name="pregunta" dataDxfId="54"/>
    <tableColumn id="6" name="criterio" dataDxfId="55"/>
    <tableColumn id="7" name="puntaje_1" dataDxfId="56"/>
    <tableColumn id="8" name="evaluador" dataDxfId="57"/>
    <tableColumn id="9" name="puntaje_2" dataDxfId="58"/>
    <tableColumn id="10" name="promedio" dataDxfId="59"/>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s>
</file>

<file path=xl/worksheets/_rels/sheet2.xml.rels><?xml version="1.0" encoding="UTF-8" standalone="yes"?><Relationships xmlns="http://schemas.openxmlformats.org/package/2006/relationships"><Relationship  Id="rId1" Type="http://schemas.openxmlformats.org/officeDocument/2006/relationships/table" Target="../tables/table5.xml"/></Relationships>
</file>

<file path=xl/worksheets/_rels/sheet3.xml.rels><?xml version="1.0" encoding="UTF-8" standalone="yes"?><Relationships xmlns="http://schemas.openxmlformats.org/package/2006/relationships"><Relationship  Id="rId1" Type="http://schemas.openxmlformats.org/officeDocument/2006/relationships/table" Target="../tables/table6.xml"/></Relationships>
</file>

<file path=xl/worksheets/_rels/sheet4.xml.rels><?xml version="1.0" encoding="UTF-8" standalone="yes"?><Relationships xmlns="http://schemas.openxmlformats.org/package/2006/relationships"><Relationship  Id="rId1" Type="http://schemas.openxmlformats.org/officeDocument/2006/relationships/table" Target="../tables/table7.xml"/></Relationships>
</file>

<file path=xl/worksheets/_rels/sheet5.xml.rels><?xml version="1.0" encoding="UTF-8" standalone="yes"?><Relationships xmlns="http://schemas.openxmlformats.org/package/2006/relationships"><Relationship  Id="rId1" Type="http://schemas.openxmlformats.org/officeDocument/2006/relationships/table" Target="../tables/table8.xml"/></Relationships>
</file>

<file path=xl/worksheets/_rels/sheet6.xml.rels><?xml version="1.0" encoding="UTF-8" standalone="yes"?><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E1" zoomScale="87" workbookViewId="0">
      <selection activeCell="K10" activeCellId="0" sqref="K10"/>
    </sheetView>
  </sheetViews>
  <sheetFormatPr baseColWidth="10" defaultRowHeight="15"/>
  <cols>
    <col customWidth="1" min="1" max="1" width="21.7109375"/>
    <col customWidth="1" min="2" max="2" width="29.42578125"/>
    <col customWidth="1" min="3" max="3" width="28.7109375"/>
    <col customWidth="1" min="4" max="4" width="36.28515625"/>
    <col customWidth="1" min="5" max="5" width="70.85546875"/>
    <col customWidth="1" min="6" max="6" width="36.5703125"/>
    <col customWidth="1" min="7" max="7" width="16.85546875"/>
    <col customWidth="1" min="8" max="8" width="16"/>
    <col customWidth="1" min="9" max="9" width="17.140625"/>
    <col customWidth="1" min="10" max="10" width="15.5703125"/>
  </cols>
  <sheetData>
    <row r="1" ht="36">
      <c r="A1" s="1" t="s">
        <v>0</v>
      </c>
      <c r="B1" s="1" t="s">
        <v>1</v>
      </c>
      <c r="C1" s="1" t="s">
        <v>2</v>
      </c>
      <c r="D1" s="1" t="s">
        <v>3</v>
      </c>
      <c r="E1" s="1" t="s">
        <v>4</v>
      </c>
      <c r="F1" s="1" t="s">
        <v>5</v>
      </c>
      <c r="G1" s="2" t="s">
        <v>6</v>
      </c>
      <c r="H1" s="3" t="s">
        <v>7</v>
      </c>
      <c r="I1" s="3" t="s">
        <v>8</v>
      </c>
      <c r="J1" s="3" t="s">
        <v>9</v>
      </c>
      <c r="M1" s="4" t="s">
        <v>10</v>
      </c>
      <c r="N1" s="4" t="s">
        <v>11</v>
      </c>
      <c r="O1" s="4" t="s">
        <v>12</v>
      </c>
      <c r="P1" s="4" t="s">
        <v>13</v>
      </c>
      <c r="Q1" s="4" t="s">
        <v>14</v>
      </c>
      <c r="R1" s="4" t="s">
        <v>15</v>
      </c>
      <c r="S1" s="4" t="s">
        <v>16</v>
      </c>
    </row>
    <row r="2" ht="46.5" customHeight="1">
      <c r="A2" s="5" t="s">
        <v>17</v>
      </c>
      <c r="B2" s="6" t="s">
        <v>18</v>
      </c>
      <c r="C2" s="7" t="s">
        <v>19</v>
      </c>
      <c r="D2" s="6" t="s">
        <v>20</v>
      </c>
      <c r="E2" s="7" t="s">
        <v>21</v>
      </c>
      <c r="F2" s="5" t="s">
        <v>22</v>
      </c>
      <c r="G2" s="8">
        <f t="shared" ref="G2:G65" si="0">IF(F2="Cumple",1,IF(F2="Cumple Parcialmente",0.5,IF(F2="No Cumple",0,"")))</f>
        <v>1</v>
      </c>
      <c r="H2" s="9" t="s">
        <v>22</v>
      </c>
      <c r="I2" s="9">
        <f t="shared" ref="I2:I65" si="1">IF(H2="Cumple",1,IF(H2="Cumple Parcialmente",0.5,IF(H2="No Cumple",0,"")))</f>
        <v>1</v>
      </c>
      <c r="J2" s="9">
        <v>1</v>
      </c>
      <c r="M2" s="10" t="s">
        <v>17</v>
      </c>
      <c r="N2" s="10">
        <f>SUM(G2:G65)</f>
        <v>42.5</v>
      </c>
      <c r="O2" s="10">
        <f t="shared" ref="O2:O8" si="2">ROUND((N2/64)*100,2)</f>
        <v>66.409999999999997</v>
      </c>
      <c r="P2" s="10">
        <f>SUM(I2:I65)</f>
        <v>23.5</v>
      </c>
      <c r="Q2" s="10">
        <f t="shared" ref="Q2:Q8" si="3">ROUND((P2/64)*100,2)</f>
        <v>36.719999999999999</v>
      </c>
      <c r="R2" s="11">
        <f t="shared" ref="R2:R8" si="4">AVERAGE(N2,P2)</f>
        <v>33</v>
      </c>
      <c r="S2" s="12">
        <f t="shared" ref="S2:S8" si="5">ROUND((R2/64)*100,2)</f>
        <v>51.560000000000002</v>
      </c>
    </row>
    <row r="3" ht="36">
      <c r="A3" s="5" t="s">
        <v>17</v>
      </c>
      <c r="B3" s="6" t="s">
        <v>18</v>
      </c>
      <c r="C3" s="7" t="s">
        <v>19</v>
      </c>
      <c r="D3" s="6" t="s">
        <v>20</v>
      </c>
      <c r="E3" s="7" t="s">
        <v>23</v>
      </c>
      <c r="F3" s="5" t="s">
        <v>22</v>
      </c>
      <c r="G3" s="8">
        <f t="shared" si="0"/>
        <v>1</v>
      </c>
      <c r="H3" s="13" t="s">
        <v>24</v>
      </c>
      <c r="I3" s="9">
        <f t="shared" si="1"/>
        <v>1</v>
      </c>
      <c r="J3" s="9">
        <f t="shared" ref="J3:J66" si="6">AVERAGE(G3,I3)</f>
        <v>1</v>
      </c>
      <c r="M3" s="10" t="s">
        <v>25</v>
      </c>
      <c r="N3" s="10">
        <f>SUM(G66:G129)</f>
        <v>41.5</v>
      </c>
      <c r="O3" s="10">
        <f t="shared" si="2"/>
        <v>64.840000000000003</v>
      </c>
      <c r="P3" s="10">
        <f>SUM(I66:I129)</f>
        <v>28</v>
      </c>
      <c r="Q3" s="10">
        <f t="shared" si="3"/>
        <v>43.75</v>
      </c>
      <c r="R3" s="11">
        <f t="shared" si="4"/>
        <v>34.75</v>
      </c>
      <c r="S3" s="12">
        <f t="shared" si="5"/>
        <v>54.299999999999997</v>
      </c>
    </row>
    <row r="4" ht="54">
      <c r="A4" s="5" t="s">
        <v>17</v>
      </c>
      <c r="B4" s="6" t="s">
        <v>18</v>
      </c>
      <c r="C4" s="7" t="s">
        <v>26</v>
      </c>
      <c r="D4" s="7" t="s">
        <v>27</v>
      </c>
      <c r="E4" s="7" t="s">
        <v>28</v>
      </c>
      <c r="F4" s="5" t="s">
        <v>22</v>
      </c>
      <c r="G4" s="8">
        <f t="shared" si="0"/>
        <v>1</v>
      </c>
      <c r="H4" s="9" t="s">
        <v>24</v>
      </c>
      <c r="I4" s="9">
        <f t="shared" si="1"/>
        <v>1</v>
      </c>
      <c r="J4" s="9">
        <f t="shared" si="6"/>
        <v>1</v>
      </c>
      <c r="M4" s="10" t="s">
        <v>29</v>
      </c>
      <c r="N4" s="10">
        <f>SUM(G130:G193)</f>
        <v>50</v>
      </c>
      <c r="O4" s="10">
        <f t="shared" si="2"/>
        <v>78.129999999999995</v>
      </c>
      <c r="P4" s="10">
        <f>SUM(I130:I193)</f>
        <v>44.5</v>
      </c>
      <c r="Q4" s="10">
        <f t="shared" si="3"/>
        <v>69.530000000000001</v>
      </c>
      <c r="R4" s="11">
        <f t="shared" si="4"/>
        <v>47.25</v>
      </c>
      <c r="S4" s="12">
        <f t="shared" si="5"/>
        <v>73.829999999999998</v>
      </c>
    </row>
    <row r="5" ht="54">
      <c r="A5" s="5" t="s">
        <v>17</v>
      </c>
      <c r="B5" s="6" t="s">
        <v>18</v>
      </c>
      <c r="C5" s="7" t="s">
        <v>26</v>
      </c>
      <c r="D5" s="7" t="s">
        <v>27</v>
      </c>
      <c r="E5" s="7" t="s">
        <v>30</v>
      </c>
      <c r="F5" s="5" t="s">
        <v>22</v>
      </c>
      <c r="G5" s="8">
        <f t="shared" si="0"/>
        <v>1</v>
      </c>
      <c r="H5" s="9" t="s">
        <v>31</v>
      </c>
      <c r="I5" s="9">
        <f t="shared" si="1"/>
        <v>0.5</v>
      </c>
      <c r="J5" s="9">
        <f t="shared" si="6"/>
        <v>0.75</v>
      </c>
      <c r="M5" s="10" t="s">
        <v>32</v>
      </c>
      <c r="N5" s="10">
        <f>SUM(G194:G257)</f>
        <v>46</v>
      </c>
      <c r="O5" s="10">
        <f t="shared" si="2"/>
        <v>71.879999999999995</v>
      </c>
      <c r="P5" s="10">
        <f>SUM(I194:I257)</f>
        <v>37.5</v>
      </c>
      <c r="Q5" s="10">
        <f t="shared" si="3"/>
        <v>58.590000000000003</v>
      </c>
      <c r="R5" s="11">
        <f t="shared" si="4"/>
        <v>41.75</v>
      </c>
      <c r="S5" s="12">
        <f t="shared" si="5"/>
        <v>65.230000000000004</v>
      </c>
    </row>
    <row r="6" ht="54">
      <c r="A6" s="5" t="s">
        <v>17</v>
      </c>
      <c r="B6" s="6" t="s">
        <v>18</v>
      </c>
      <c r="C6" s="7" t="s">
        <v>33</v>
      </c>
      <c r="D6" s="7" t="s">
        <v>34</v>
      </c>
      <c r="E6" s="7" t="s">
        <v>35</v>
      </c>
      <c r="F6" s="5" t="s">
        <v>22</v>
      </c>
      <c r="G6" s="8">
        <f t="shared" si="0"/>
        <v>1</v>
      </c>
      <c r="H6" s="9" t="s">
        <v>24</v>
      </c>
      <c r="I6" s="9">
        <f t="shared" si="1"/>
        <v>1</v>
      </c>
      <c r="J6" s="9">
        <f t="shared" si="6"/>
        <v>1</v>
      </c>
      <c r="M6" s="10" t="s">
        <v>36</v>
      </c>
      <c r="N6" s="10">
        <f>SUM(G258:G321)</f>
        <v>48.5</v>
      </c>
      <c r="O6" s="10">
        <f t="shared" si="2"/>
        <v>75.780000000000001</v>
      </c>
      <c r="P6" s="10">
        <f>SUM(I258:I321)</f>
        <v>47.5</v>
      </c>
      <c r="Q6" s="10">
        <f t="shared" si="3"/>
        <v>74.219999999999999</v>
      </c>
      <c r="R6" s="11">
        <f t="shared" si="4"/>
        <v>48</v>
      </c>
      <c r="S6" s="12">
        <f t="shared" si="5"/>
        <v>75</v>
      </c>
    </row>
    <row r="7" ht="36">
      <c r="A7" s="5" t="s">
        <v>17</v>
      </c>
      <c r="B7" s="6" t="s">
        <v>18</v>
      </c>
      <c r="C7" s="7" t="s">
        <v>33</v>
      </c>
      <c r="D7" s="7" t="s">
        <v>34</v>
      </c>
      <c r="E7" s="7" t="s">
        <v>37</v>
      </c>
      <c r="F7" s="5" t="s">
        <v>22</v>
      </c>
      <c r="G7" s="8">
        <f t="shared" si="0"/>
        <v>1</v>
      </c>
      <c r="H7" s="9" t="s">
        <v>24</v>
      </c>
      <c r="I7" s="9">
        <f t="shared" si="1"/>
        <v>1</v>
      </c>
      <c r="J7" s="9">
        <f t="shared" si="6"/>
        <v>1</v>
      </c>
      <c r="M7" s="10" t="s">
        <v>38</v>
      </c>
      <c r="N7" s="10">
        <f>SUM(G322:G385)</f>
        <v>25</v>
      </c>
      <c r="O7" s="10">
        <f t="shared" si="2"/>
        <v>39.060000000000002</v>
      </c>
      <c r="P7" s="10">
        <f>SUM(I322:I385)</f>
        <v>24</v>
      </c>
      <c r="Q7" s="10">
        <f t="shared" si="3"/>
        <v>37.5</v>
      </c>
      <c r="R7" s="11">
        <f t="shared" si="4"/>
        <v>24.5</v>
      </c>
      <c r="S7" s="12">
        <f t="shared" si="5"/>
        <v>38.280000000000001</v>
      </c>
    </row>
    <row r="8" ht="36">
      <c r="A8" s="5" t="s">
        <v>17</v>
      </c>
      <c r="B8" s="6" t="s">
        <v>18</v>
      </c>
      <c r="C8" s="7" t="s">
        <v>39</v>
      </c>
      <c r="D8" s="7" t="s">
        <v>40</v>
      </c>
      <c r="E8" s="7" t="s">
        <v>41</v>
      </c>
      <c r="F8" s="5" t="s">
        <v>22</v>
      </c>
      <c r="G8" s="8">
        <f t="shared" si="0"/>
        <v>1</v>
      </c>
      <c r="H8" s="9" t="s">
        <v>24</v>
      </c>
      <c r="I8" s="9">
        <f t="shared" si="1"/>
        <v>1</v>
      </c>
      <c r="J8" s="9">
        <f t="shared" si="6"/>
        <v>1</v>
      </c>
      <c r="M8" s="10" t="s">
        <v>42</v>
      </c>
      <c r="N8" s="10">
        <f>SUM(G386:G449)</f>
        <v>55.5</v>
      </c>
      <c r="O8" s="10">
        <f t="shared" si="2"/>
        <v>86.719999999999999</v>
      </c>
      <c r="P8" s="14">
        <v>0</v>
      </c>
      <c r="Q8" s="14">
        <f t="shared" si="3"/>
        <v>0</v>
      </c>
      <c r="R8" s="11">
        <f t="shared" si="4"/>
        <v>27.75</v>
      </c>
      <c r="S8" s="12">
        <f t="shared" si="5"/>
        <v>43.359999999999999</v>
      </c>
    </row>
    <row r="9" ht="54">
      <c r="A9" s="5" t="s">
        <v>17</v>
      </c>
      <c r="B9" s="6" t="s">
        <v>18</v>
      </c>
      <c r="C9" s="7" t="s">
        <v>39</v>
      </c>
      <c r="D9" s="7" t="s">
        <v>40</v>
      </c>
      <c r="E9" s="7" t="s">
        <v>43</v>
      </c>
      <c r="F9" s="5" t="s">
        <v>22</v>
      </c>
      <c r="G9" s="8">
        <f t="shared" si="0"/>
        <v>1</v>
      </c>
      <c r="H9" s="9" t="s">
        <v>24</v>
      </c>
      <c r="I9" s="9">
        <f t="shared" si="1"/>
        <v>1</v>
      </c>
      <c r="J9" s="9">
        <f t="shared" si="6"/>
        <v>1</v>
      </c>
    </row>
    <row r="10" ht="72">
      <c r="A10" s="5" t="s">
        <v>17</v>
      </c>
      <c r="B10" s="6" t="s">
        <v>18</v>
      </c>
      <c r="C10" s="7" t="s">
        <v>44</v>
      </c>
      <c r="D10" s="7" t="s">
        <v>45</v>
      </c>
      <c r="E10" s="7" t="s">
        <v>46</v>
      </c>
      <c r="F10" s="5" t="s">
        <v>22</v>
      </c>
      <c r="G10" s="8">
        <f t="shared" si="0"/>
        <v>1</v>
      </c>
      <c r="H10" s="9" t="s">
        <v>24</v>
      </c>
      <c r="I10" s="9">
        <f t="shared" si="1"/>
        <v>1</v>
      </c>
      <c r="J10" s="9">
        <f t="shared" si="6"/>
        <v>1</v>
      </c>
    </row>
    <row r="11" ht="72">
      <c r="A11" s="5" t="s">
        <v>17</v>
      </c>
      <c r="B11" s="6" t="s">
        <v>18</v>
      </c>
      <c r="C11" s="7" t="s">
        <v>44</v>
      </c>
      <c r="D11" s="7" t="s">
        <v>45</v>
      </c>
      <c r="E11" s="7" t="s">
        <v>47</v>
      </c>
      <c r="F11" s="5" t="s">
        <v>22</v>
      </c>
      <c r="G11" s="8">
        <f t="shared" si="0"/>
        <v>1</v>
      </c>
      <c r="H11" s="9" t="s">
        <v>24</v>
      </c>
      <c r="I11" s="9">
        <f t="shared" si="1"/>
        <v>1</v>
      </c>
      <c r="J11" s="9">
        <f t="shared" si="6"/>
        <v>1</v>
      </c>
    </row>
    <row r="12" ht="54">
      <c r="A12" s="5" t="s">
        <v>17</v>
      </c>
      <c r="B12" s="15" t="s">
        <v>48</v>
      </c>
      <c r="C12" s="7" t="s">
        <v>49</v>
      </c>
      <c r="D12" s="7" t="s">
        <v>50</v>
      </c>
      <c r="E12" s="7" t="s">
        <v>51</v>
      </c>
      <c r="F12" s="5" t="s">
        <v>22</v>
      </c>
      <c r="G12" s="8">
        <f t="shared" si="0"/>
        <v>1</v>
      </c>
      <c r="H12" s="9" t="s">
        <v>24</v>
      </c>
      <c r="I12" s="9">
        <f t="shared" si="1"/>
        <v>1</v>
      </c>
      <c r="J12" s="9">
        <f t="shared" si="6"/>
        <v>1</v>
      </c>
    </row>
    <row r="13" ht="54">
      <c r="A13" s="5" t="s">
        <v>17</v>
      </c>
      <c r="B13" s="15" t="s">
        <v>48</v>
      </c>
      <c r="C13" s="7" t="s">
        <v>49</v>
      </c>
      <c r="D13" s="7" t="s">
        <v>50</v>
      </c>
      <c r="E13" s="7" t="s">
        <v>52</v>
      </c>
      <c r="F13" s="5" t="s">
        <v>53</v>
      </c>
      <c r="G13" s="8">
        <f t="shared" si="0"/>
        <v>0</v>
      </c>
      <c r="H13" s="9" t="s">
        <v>31</v>
      </c>
      <c r="I13" s="9">
        <f t="shared" ref="I13:I14" si="7">IF(H13="Cumple",1,IF(H13="Cumple Parcialmente",0.5,IF(H13="No Cumple",0,"")))</f>
        <v>0.5</v>
      </c>
      <c r="J13" s="9">
        <f t="shared" si="6"/>
        <v>0.25</v>
      </c>
    </row>
    <row r="14" ht="54">
      <c r="A14" s="5" t="s">
        <v>17</v>
      </c>
      <c r="B14" s="15" t="s">
        <v>48</v>
      </c>
      <c r="C14" s="7" t="s">
        <v>49</v>
      </c>
      <c r="D14" s="7" t="s">
        <v>50</v>
      </c>
      <c r="E14" s="7" t="s">
        <v>54</v>
      </c>
      <c r="F14" s="5" t="s">
        <v>22</v>
      </c>
      <c r="G14" s="8">
        <f t="shared" si="0"/>
        <v>1</v>
      </c>
      <c r="H14" s="9" t="s">
        <v>24</v>
      </c>
      <c r="I14" s="9">
        <f t="shared" si="7"/>
        <v>1</v>
      </c>
      <c r="J14" s="9">
        <f t="shared" si="6"/>
        <v>1</v>
      </c>
    </row>
    <row r="15" ht="54">
      <c r="A15" s="5" t="s">
        <v>17</v>
      </c>
      <c r="B15" s="15" t="s">
        <v>48</v>
      </c>
      <c r="C15" s="7" t="s">
        <v>49</v>
      </c>
      <c r="D15" s="7" t="s">
        <v>50</v>
      </c>
      <c r="E15" s="7" t="s">
        <v>55</v>
      </c>
      <c r="F15" s="5" t="s">
        <v>22</v>
      </c>
      <c r="G15" s="8">
        <f t="shared" si="0"/>
        <v>1</v>
      </c>
      <c r="H15" s="9" t="s">
        <v>31</v>
      </c>
      <c r="I15" s="9">
        <f t="shared" si="1"/>
        <v>0.5</v>
      </c>
      <c r="J15" s="9">
        <f t="shared" si="6"/>
        <v>0.75</v>
      </c>
    </row>
    <row r="16" ht="72">
      <c r="A16" s="5" t="s">
        <v>17</v>
      </c>
      <c r="B16" s="15" t="s">
        <v>48</v>
      </c>
      <c r="C16" s="7" t="s">
        <v>56</v>
      </c>
      <c r="D16" s="7" t="s">
        <v>57</v>
      </c>
      <c r="E16" s="7" t="s">
        <v>58</v>
      </c>
      <c r="F16" s="5" t="s">
        <v>22</v>
      </c>
      <c r="G16" s="8">
        <f t="shared" si="0"/>
        <v>1</v>
      </c>
      <c r="H16" s="9" t="s">
        <v>31</v>
      </c>
      <c r="I16" s="9">
        <f t="shared" si="1"/>
        <v>0.5</v>
      </c>
      <c r="J16" s="9">
        <f t="shared" si="6"/>
        <v>0.75</v>
      </c>
    </row>
    <row r="17" ht="72">
      <c r="A17" s="5" t="s">
        <v>17</v>
      </c>
      <c r="B17" s="15" t="s">
        <v>48</v>
      </c>
      <c r="C17" s="7" t="s">
        <v>56</v>
      </c>
      <c r="D17" s="7" t="s">
        <v>57</v>
      </c>
      <c r="E17" s="7" t="s">
        <v>59</v>
      </c>
      <c r="F17" s="5" t="s">
        <v>22</v>
      </c>
      <c r="G17" s="8">
        <f t="shared" si="0"/>
        <v>1</v>
      </c>
      <c r="H17" s="9" t="s">
        <v>31</v>
      </c>
      <c r="I17" s="9">
        <f t="shared" si="1"/>
        <v>0.5</v>
      </c>
      <c r="J17" s="9">
        <f t="shared" si="6"/>
        <v>0.75</v>
      </c>
    </row>
    <row r="18" ht="54">
      <c r="A18" s="5" t="s">
        <v>17</v>
      </c>
      <c r="B18" s="15" t="s">
        <v>48</v>
      </c>
      <c r="C18" s="7" t="s">
        <v>60</v>
      </c>
      <c r="D18" s="7" t="s">
        <v>61</v>
      </c>
      <c r="E18" s="7" t="s">
        <v>62</v>
      </c>
      <c r="F18" s="5" t="s">
        <v>22</v>
      </c>
      <c r="G18" s="8">
        <f t="shared" si="0"/>
        <v>1</v>
      </c>
      <c r="H18" s="9" t="s">
        <v>31</v>
      </c>
      <c r="I18" s="9">
        <f t="shared" si="1"/>
        <v>0.5</v>
      </c>
      <c r="J18" s="9">
        <f t="shared" si="6"/>
        <v>0.75</v>
      </c>
    </row>
    <row r="19" ht="90">
      <c r="A19" s="5" t="s">
        <v>17</v>
      </c>
      <c r="B19" s="15" t="s">
        <v>48</v>
      </c>
      <c r="C19" s="7" t="s">
        <v>60</v>
      </c>
      <c r="D19" s="7" t="s">
        <v>61</v>
      </c>
      <c r="E19" s="7" t="s">
        <v>63</v>
      </c>
      <c r="F19" s="5" t="s">
        <v>22</v>
      </c>
      <c r="G19" s="8">
        <f t="shared" si="0"/>
        <v>1</v>
      </c>
      <c r="H19" s="9" t="s">
        <v>31</v>
      </c>
      <c r="I19" s="9">
        <f t="shared" si="1"/>
        <v>0.5</v>
      </c>
      <c r="J19" s="9">
        <f t="shared" si="6"/>
        <v>0.75</v>
      </c>
    </row>
    <row r="20" ht="54">
      <c r="A20" s="5" t="s">
        <v>17</v>
      </c>
      <c r="B20" s="15" t="s">
        <v>48</v>
      </c>
      <c r="C20" s="7" t="s">
        <v>60</v>
      </c>
      <c r="D20" s="7" t="s">
        <v>61</v>
      </c>
      <c r="E20" s="7" t="s">
        <v>64</v>
      </c>
      <c r="F20" s="5" t="s">
        <v>22</v>
      </c>
      <c r="G20" s="8">
        <f t="shared" si="0"/>
        <v>1</v>
      </c>
      <c r="H20" s="9" t="s">
        <v>31</v>
      </c>
      <c r="I20" s="9">
        <f t="shared" si="1"/>
        <v>0.5</v>
      </c>
      <c r="J20" s="9">
        <f t="shared" si="6"/>
        <v>0.75</v>
      </c>
    </row>
    <row r="21" ht="54">
      <c r="A21" s="5" t="s">
        <v>17</v>
      </c>
      <c r="B21" s="15" t="s">
        <v>48</v>
      </c>
      <c r="C21" s="7" t="s">
        <v>65</v>
      </c>
      <c r="D21" s="7" t="s">
        <v>66</v>
      </c>
      <c r="E21" s="7" t="s">
        <v>67</v>
      </c>
      <c r="F21" s="5" t="s">
        <v>22</v>
      </c>
      <c r="G21" s="8">
        <f t="shared" si="0"/>
        <v>1</v>
      </c>
      <c r="H21" s="9" t="s">
        <v>31</v>
      </c>
      <c r="I21" s="9">
        <f t="shared" si="1"/>
        <v>0.5</v>
      </c>
      <c r="J21" s="9">
        <f t="shared" si="6"/>
        <v>0.75</v>
      </c>
    </row>
    <row r="22" ht="72">
      <c r="A22" s="5" t="s">
        <v>17</v>
      </c>
      <c r="B22" s="15" t="s">
        <v>48</v>
      </c>
      <c r="C22" s="7" t="s">
        <v>65</v>
      </c>
      <c r="D22" s="7" t="s">
        <v>66</v>
      </c>
      <c r="E22" s="7" t="s">
        <v>68</v>
      </c>
      <c r="F22" s="5" t="s">
        <v>22</v>
      </c>
      <c r="G22" s="8">
        <f t="shared" si="0"/>
        <v>1</v>
      </c>
      <c r="H22" s="9" t="s">
        <v>31</v>
      </c>
      <c r="I22" s="9">
        <f t="shared" si="1"/>
        <v>0.5</v>
      </c>
      <c r="J22" s="9">
        <f t="shared" si="6"/>
        <v>0.75</v>
      </c>
    </row>
    <row r="23" ht="54">
      <c r="A23" s="5" t="s">
        <v>17</v>
      </c>
      <c r="B23" s="15" t="s">
        <v>48</v>
      </c>
      <c r="C23" s="7" t="s">
        <v>65</v>
      </c>
      <c r="D23" s="7" t="s">
        <v>66</v>
      </c>
      <c r="E23" s="7" t="s">
        <v>69</v>
      </c>
      <c r="F23" s="5" t="s">
        <v>70</v>
      </c>
      <c r="G23" s="8">
        <f t="shared" si="0"/>
        <v>0.5</v>
      </c>
      <c r="H23" s="9" t="s">
        <v>31</v>
      </c>
      <c r="I23" s="9">
        <f t="shared" si="1"/>
        <v>0.5</v>
      </c>
      <c r="J23" s="9">
        <f t="shared" si="6"/>
        <v>0.5</v>
      </c>
    </row>
    <row r="24" ht="72">
      <c r="A24" s="5" t="s">
        <v>17</v>
      </c>
      <c r="B24" s="15" t="s">
        <v>48</v>
      </c>
      <c r="C24" s="7" t="s">
        <v>71</v>
      </c>
      <c r="D24" s="7" t="s">
        <v>72</v>
      </c>
      <c r="E24" s="7" t="s">
        <v>73</v>
      </c>
      <c r="F24" s="5" t="s">
        <v>22</v>
      </c>
      <c r="G24" s="8">
        <f t="shared" si="0"/>
        <v>1</v>
      </c>
      <c r="H24" s="9" t="s">
        <v>74</v>
      </c>
      <c r="I24" s="9">
        <f t="shared" si="1"/>
        <v>0</v>
      </c>
      <c r="J24" s="9">
        <f t="shared" si="6"/>
        <v>0.5</v>
      </c>
    </row>
    <row r="25" ht="72">
      <c r="A25" s="5" t="s">
        <v>17</v>
      </c>
      <c r="B25" s="15" t="s">
        <v>48</v>
      </c>
      <c r="C25" s="7" t="s">
        <v>71</v>
      </c>
      <c r="D25" s="7" t="s">
        <v>72</v>
      </c>
      <c r="E25" s="7" t="s">
        <v>75</v>
      </c>
      <c r="F25" s="5" t="s">
        <v>22</v>
      </c>
      <c r="G25" s="8">
        <f t="shared" si="0"/>
        <v>1</v>
      </c>
      <c r="H25" s="9" t="s">
        <v>74</v>
      </c>
      <c r="I25" s="9">
        <f t="shared" si="1"/>
        <v>0</v>
      </c>
      <c r="J25" s="9">
        <f t="shared" si="6"/>
        <v>0.5</v>
      </c>
    </row>
    <row r="26" ht="72">
      <c r="A26" s="5" t="s">
        <v>17</v>
      </c>
      <c r="B26" s="15" t="s">
        <v>48</v>
      </c>
      <c r="C26" s="7" t="s">
        <v>71</v>
      </c>
      <c r="D26" s="7" t="s">
        <v>72</v>
      </c>
      <c r="E26" s="7" t="s">
        <v>76</v>
      </c>
      <c r="F26" s="5" t="s">
        <v>22</v>
      </c>
      <c r="G26" s="8">
        <f t="shared" si="0"/>
        <v>1</v>
      </c>
      <c r="H26" s="9" t="s">
        <v>31</v>
      </c>
      <c r="I26" s="9">
        <f t="shared" si="1"/>
        <v>0.5</v>
      </c>
      <c r="J26" s="9">
        <f t="shared" si="6"/>
        <v>0.75</v>
      </c>
    </row>
    <row r="27" ht="72">
      <c r="A27" s="5" t="s">
        <v>17</v>
      </c>
      <c r="B27" s="15" t="s">
        <v>48</v>
      </c>
      <c r="C27" s="7" t="s">
        <v>71</v>
      </c>
      <c r="D27" s="7" t="s">
        <v>72</v>
      </c>
      <c r="E27" s="7" t="s">
        <v>77</v>
      </c>
      <c r="F27" s="5" t="s">
        <v>22</v>
      </c>
      <c r="G27" s="8">
        <f t="shared" si="0"/>
        <v>1</v>
      </c>
      <c r="H27" s="9" t="s">
        <v>74</v>
      </c>
      <c r="I27" s="9">
        <f t="shared" si="1"/>
        <v>0</v>
      </c>
      <c r="J27" s="9">
        <f t="shared" si="6"/>
        <v>0.5</v>
      </c>
    </row>
    <row r="28" ht="54">
      <c r="A28" s="5" t="s">
        <v>17</v>
      </c>
      <c r="B28" s="15" t="s">
        <v>48</v>
      </c>
      <c r="C28" s="7" t="s">
        <v>78</v>
      </c>
      <c r="D28" s="7" t="s">
        <v>79</v>
      </c>
      <c r="E28" s="7" t="s">
        <v>80</v>
      </c>
      <c r="F28" s="5" t="s">
        <v>22</v>
      </c>
      <c r="G28" s="8">
        <f t="shared" si="0"/>
        <v>1</v>
      </c>
      <c r="H28" s="9" t="s">
        <v>31</v>
      </c>
      <c r="I28" s="9">
        <f t="shared" si="1"/>
        <v>0.5</v>
      </c>
      <c r="J28" s="9">
        <f t="shared" si="6"/>
        <v>0.75</v>
      </c>
    </row>
    <row r="29" ht="54">
      <c r="A29" s="5" t="s">
        <v>17</v>
      </c>
      <c r="B29" s="15" t="s">
        <v>48</v>
      </c>
      <c r="C29" s="7" t="s">
        <v>78</v>
      </c>
      <c r="D29" s="7" t="s">
        <v>79</v>
      </c>
      <c r="E29" s="7" t="s">
        <v>81</v>
      </c>
      <c r="F29" s="5" t="s">
        <v>22</v>
      </c>
      <c r="G29" s="8">
        <f t="shared" si="0"/>
        <v>1</v>
      </c>
      <c r="H29" s="9" t="s">
        <v>74</v>
      </c>
      <c r="I29" s="9">
        <f t="shared" si="1"/>
        <v>0</v>
      </c>
      <c r="J29" s="9">
        <f t="shared" si="6"/>
        <v>0.5</v>
      </c>
    </row>
    <row r="30" ht="54">
      <c r="A30" s="5" t="s">
        <v>17</v>
      </c>
      <c r="B30" s="15" t="s">
        <v>48</v>
      </c>
      <c r="C30" s="7" t="s">
        <v>78</v>
      </c>
      <c r="D30" s="7" t="s">
        <v>79</v>
      </c>
      <c r="E30" s="7" t="s">
        <v>82</v>
      </c>
      <c r="F30" s="5" t="s">
        <v>53</v>
      </c>
      <c r="G30" s="8">
        <f t="shared" si="0"/>
        <v>0</v>
      </c>
      <c r="H30" s="9" t="s">
        <v>74</v>
      </c>
      <c r="I30" s="9">
        <f t="shared" si="1"/>
        <v>0</v>
      </c>
      <c r="J30" s="9">
        <f t="shared" si="6"/>
        <v>0</v>
      </c>
    </row>
    <row r="31" ht="72">
      <c r="A31" s="5" t="s">
        <v>17</v>
      </c>
      <c r="B31" s="15" t="s">
        <v>83</v>
      </c>
      <c r="C31" s="7" t="s">
        <v>84</v>
      </c>
      <c r="D31" s="7" t="s">
        <v>85</v>
      </c>
      <c r="E31" s="7" t="s">
        <v>86</v>
      </c>
      <c r="F31" s="5" t="s">
        <v>22</v>
      </c>
      <c r="G31" s="8">
        <f t="shared" si="0"/>
        <v>1</v>
      </c>
      <c r="H31" s="9" t="s">
        <v>31</v>
      </c>
      <c r="I31" s="9">
        <f t="shared" si="1"/>
        <v>0.5</v>
      </c>
      <c r="J31" s="9">
        <f t="shared" si="6"/>
        <v>0.75</v>
      </c>
    </row>
    <row r="32" ht="72">
      <c r="A32" s="5" t="s">
        <v>17</v>
      </c>
      <c r="B32" s="15" t="s">
        <v>83</v>
      </c>
      <c r="C32" s="7" t="s">
        <v>84</v>
      </c>
      <c r="D32" s="7" t="s">
        <v>85</v>
      </c>
      <c r="E32" s="7" t="s">
        <v>87</v>
      </c>
      <c r="F32" s="5" t="s">
        <v>53</v>
      </c>
      <c r="G32" s="8">
        <f t="shared" si="0"/>
        <v>0</v>
      </c>
      <c r="H32" s="9" t="s">
        <v>74</v>
      </c>
      <c r="I32" s="9">
        <f t="shared" si="1"/>
        <v>0</v>
      </c>
      <c r="J32" s="9">
        <f t="shared" si="6"/>
        <v>0</v>
      </c>
    </row>
    <row r="33" ht="72">
      <c r="A33" s="5" t="s">
        <v>17</v>
      </c>
      <c r="B33" s="15" t="s">
        <v>83</v>
      </c>
      <c r="C33" s="7" t="s">
        <v>84</v>
      </c>
      <c r="D33" s="7" t="s">
        <v>85</v>
      </c>
      <c r="E33" s="7" t="s">
        <v>88</v>
      </c>
      <c r="F33" s="5" t="s">
        <v>53</v>
      </c>
      <c r="G33" s="8">
        <f t="shared" si="0"/>
        <v>0</v>
      </c>
      <c r="H33" s="9" t="s">
        <v>74</v>
      </c>
      <c r="I33" s="9">
        <f t="shared" si="1"/>
        <v>0</v>
      </c>
      <c r="J33" s="9">
        <f t="shared" si="6"/>
        <v>0</v>
      </c>
    </row>
    <row r="34" ht="54">
      <c r="A34" s="5" t="s">
        <v>17</v>
      </c>
      <c r="B34" s="15" t="s">
        <v>83</v>
      </c>
      <c r="C34" s="7" t="s">
        <v>84</v>
      </c>
      <c r="D34" s="7" t="s">
        <v>85</v>
      </c>
      <c r="E34" s="7" t="s">
        <v>89</v>
      </c>
      <c r="F34" s="5" t="s">
        <v>53</v>
      </c>
      <c r="G34" s="8">
        <f t="shared" si="0"/>
        <v>0</v>
      </c>
      <c r="H34" s="9" t="s">
        <v>74</v>
      </c>
      <c r="I34" s="9">
        <f t="shared" si="1"/>
        <v>0</v>
      </c>
      <c r="J34" s="9">
        <f t="shared" si="6"/>
        <v>0</v>
      </c>
    </row>
    <row r="35" ht="54">
      <c r="A35" s="5" t="s">
        <v>17</v>
      </c>
      <c r="B35" s="15" t="s">
        <v>83</v>
      </c>
      <c r="C35" s="7" t="s">
        <v>84</v>
      </c>
      <c r="D35" s="7" t="s">
        <v>85</v>
      </c>
      <c r="E35" s="7" t="s">
        <v>90</v>
      </c>
      <c r="F35" s="5" t="s">
        <v>22</v>
      </c>
      <c r="G35" s="8">
        <f t="shared" si="0"/>
        <v>1</v>
      </c>
      <c r="H35" s="9" t="s">
        <v>24</v>
      </c>
      <c r="I35" s="9">
        <f t="shared" si="1"/>
        <v>1</v>
      </c>
      <c r="J35" s="9">
        <f t="shared" si="6"/>
        <v>1</v>
      </c>
    </row>
    <row r="36" ht="90">
      <c r="A36" s="5" t="s">
        <v>17</v>
      </c>
      <c r="B36" s="15" t="s">
        <v>83</v>
      </c>
      <c r="C36" s="7" t="s">
        <v>91</v>
      </c>
      <c r="D36" s="7" t="s">
        <v>92</v>
      </c>
      <c r="E36" s="7" t="s">
        <v>93</v>
      </c>
      <c r="F36" s="5" t="s">
        <v>22</v>
      </c>
      <c r="G36" s="8">
        <f>IF(F36="Cumple",1,IF(F36="Cumple Parcialmente",0.5,IF(F36="No Cumple",0,"")))</f>
        <v>1</v>
      </c>
      <c r="H36" s="9" t="s">
        <v>31</v>
      </c>
      <c r="I36" s="9">
        <f t="shared" si="1"/>
        <v>0.5</v>
      </c>
      <c r="J36" s="9">
        <f t="shared" si="6"/>
        <v>0.75</v>
      </c>
    </row>
    <row r="37" ht="90">
      <c r="A37" s="5" t="s">
        <v>17</v>
      </c>
      <c r="B37" s="15" t="s">
        <v>83</v>
      </c>
      <c r="C37" s="7" t="s">
        <v>91</v>
      </c>
      <c r="D37" s="7" t="s">
        <v>92</v>
      </c>
      <c r="E37" s="7" t="s">
        <v>94</v>
      </c>
      <c r="F37" s="5" t="s">
        <v>22</v>
      </c>
      <c r="G37" s="8">
        <f t="shared" si="0"/>
        <v>1</v>
      </c>
      <c r="H37" s="9" t="s">
        <v>95</v>
      </c>
      <c r="I37" s="9">
        <f t="shared" si="1"/>
        <v>0.5</v>
      </c>
      <c r="J37" s="9">
        <f t="shared" si="6"/>
        <v>0.75</v>
      </c>
    </row>
    <row r="38" ht="90">
      <c r="A38" s="5" t="s">
        <v>17</v>
      </c>
      <c r="B38" s="15" t="s">
        <v>83</v>
      </c>
      <c r="C38" s="7" t="s">
        <v>91</v>
      </c>
      <c r="D38" s="7" t="s">
        <v>92</v>
      </c>
      <c r="E38" s="7" t="s">
        <v>96</v>
      </c>
      <c r="F38" s="5" t="s">
        <v>22</v>
      </c>
      <c r="G38" s="8">
        <f t="shared" si="0"/>
        <v>1</v>
      </c>
      <c r="H38" s="9" t="s">
        <v>74</v>
      </c>
      <c r="I38" s="9">
        <f t="shared" si="1"/>
        <v>0</v>
      </c>
      <c r="J38" s="9">
        <f t="shared" si="6"/>
        <v>0.5</v>
      </c>
    </row>
    <row r="39" ht="90">
      <c r="A39" s="5" t="s">
        <v>17</v>
      </c>
      <c r="B39" s="15" t="s">
        <v>83</v>
      </c>
      <c r="C39" s="7" t="s">
        <v>91</v>
      </c>
      <c r="D39" s="7" t="s">
        <v>92</v>
      </c>
      <c r="E39" s="7" t="s">
        <v>97</v>
      </c>
      <c r="F39" s="5" t="s">
        <v>22</v>
      </c>
      <c r="G39" s="8">
        <f t="shared" si="0"/>
        <v>1</v>
      </c>
      <c r="H39" s="9" t="s">
        <v>31</v>
      </c>
      <c r="I39" s="9">
        <f t="shared" si="1"/>
        <v>0.5</v>
      </c>
      <c r="J39" s="9">
        <f t="shared" si="6"/>
        <v>0.75</v>
      </c>
    </row>
    <row r="40" ht="54">
      <c r="A40" s="5" t="s">
        <v>17</v>
      </c>
      <c r="B40" s="15" t="s">
        <v>83</v>
      </c>
      <c r="C40" s="7" t="s">
        <v>98</v>
      </c>
      <c r="D40" s="7" t="s">
        <v>99</v>
      </c>
      <c r="E40" s="7" t="s">
        <v>100</v>
      </c>
      <c r="F40" s="5" t="s">
        <v>53</v>
      </c>
      <c r="G40" s="8">
        <f t="shared" si="0"/>
        <v>0</v>
      </c>
      <c r="H40" s="9" t="s">
        <v>31</v>
      </c>
      <c r="I40" s="9">
        <f t="shared" si="1"/>
        <v>0.5</v>
      </c>
      <c r="J40" s="9">
        <f t="shared" si="6"/>
        <v>0.25</v>
      </c>
    </row>
    <row r="41" ht="54">
      <c r="A41" s="5" t="s">
        <v>17</v>
      </c>
      <c r="B41" s="15" t="s">
        <v>83</v>
      </c>
      <c r="C41" s="7" t="s">
        <v>98</v>
      </c>
      <c r="D41" s="7" t="s">
        <v>99</v>
      </c>
      <c r="E41" s="7" t="s">
        <v>101</v>
      </c>
      <c r="F41" s="5" t="s">
        <v>53</v>
      </c>
      <c r="G41" s="8">
        <f t="shared" si="0"/>
        <v>0</v>
      </c>
      <c r="H41" s="9" t="s">
        <v>74</v>
      </c>
      <c r="I41" s="9">
        <f t="shared" si="1"/>
        <v>0</v>
      </c>
      <c r="J41" s="9">
        <f t="shared" si="6"/>
        <v>0</v>
      </c>
    </row>
    <row r="42" ht="72">
      <c r="A42" s="5" t="s">
        <v>17</v>
      </c>
      <c r="B42" s="15" t="s">
        <v>83</v>
      </c>
      <c r="C42" s="7" t="s">
        <v>98</v>
      </c>
      <c r="D42" s="7" t="s">
        <v>99</v>
      </c>
      <c r="E42" s="7" t="s">
        <v>102</v>
      </c>
      <c r="F42" s="5" t="s">
        <v>22</v>
      </c>
      <c r="G42" s="8">
        <f t="shared" si="0"/>
        <v>1</v>
      </c>
      <c r="H42" s="9" t="s">
        <v>74</v>
      </c>
      <c r="I42" s="9">
        <f t="shared" si="1"/>
        <v>0</v>
      </c>
      <c r="J42" s="9">
        <f t="shared" si="6"/>
        <v>0.5</v>
      </c>
    </row>
    <row r="43" ht="72">
      <c r="A43" s="5" t="s">
        <v>17</v>
      </c>
      <c r="B43" s="15" t="s">
        <v>83</v>
      </c>
      <c r="C43" s="7" t="s">
        <v>103</v>
      </c>
      <c r="D43" s="7" t="s">
        <v>104</v>
      </c>
      <c r="E43" s="7" t="s">
        <v>105</v>
      </c>
      <c r="F43" s="5" t="s">
        <v>53</v>
      </c>
      <c r="G43" s="8">
        <f t="shared" si="0"/>
        <v>0</v>
      </c>
      <c r="H43" s="9" t="s">
        <v>74</v>
      </c>
      <c r="I43" s="9">
        <f t="shared" si="1"/>
        <v>0</v>
      </c>
      <c r="J43" s="9">
        <f t="shared" si="6"/>
        <v>0</v>
      </c>
    </row>
    <row r="44" ht="54">
      <c r="A44" s="5" t="s">
        <v>17</v>
      </c>
      <c r="B44" s="15" t="s">
        <v>83</v>
      </c>
      <c r="C44" s="7" t="s">
        <v>103</v>
      </c>
      <c r="D44" s="7" t="s">
        <v>104</v>
      </c>
      <c r="E44" s="7" t="s">
        <v>106</v>
      </c>
      <c r="F44" s="5" t="s">
        <v>22</v>
      </c>
      <c r="G44" s="8">
        <f t="shared" si="0"/>
        <v>1</v>
      </c>
      <c r="H44" s="9" t="s">
        <v>31</v>
      </c>
      <c r="I44" s="9">
        <f t="shared" si="1"/>
        <v>0.5</v>
      </c>
      <c r="J44" s="9">
        <f t="shared" si="6"/>
        <v>0.75</v>
      </c>
    </row>
    <row r="45" ht="72">
      <c r="A45" s="5" t="s">
        <v>17</v>
      </c>
      <c r="B45" s="15" t="s">
        <v>83</v>
      </c>
      <c r="C45" s="7" t="s">
        <v>103</v>
      </c>
      <c r="D45" s="7" t="s">
        <v>104</v>
      </c>
      <c r="E45" s="7" t="s">
        <v>107</v>
      </c>
      <c r="F45" s="5" t="s">
        <v>22</v>
      </c>
      <c r="G45" s="8">
        <f t="shared" si="0"/>
        <v>1</v>
      </c>
      <c r="H45" s="9" t="s">
        <v>31</v>
      </c>
      <c r="I45" s="9">
        <f t="shared" si="1"/>
        <v>0.5</v>
      </c>
      <c r="J45" s="9">
        <f t="shared" si="6"/>
        <v>0.75</v>
      </c>
    </row>
    <row r="46" ht="72">
      <c r="A46" s="5" t="s">
        <v>17</v>
      </c>
      <c r="B46" s="6" t="s">
        <v>108</v>
      </c>
      <c r="C46" s="7" t="s">
        <v>109</v>
      </c>
      <c r="D46" s="7" t="s">
        <v>110</v>
      </c>
      <c r="E46" s="7" t="s">
        <v>111</v>
      </c>
      <c r="F46" s="5" t="s">
        <v>22</v>
      </c>
      <c r="G46" s="8">
        <f t="shared" si="0"/>
        <v>1</v>
      </c>
      <c r="H46" s="9" t="s">
        <v>74</v>
      </c>
      <c r="I46" s="9">
        <f t="shared" si="1"/>
        <v>0</v>
      </c>
      <c r="J46" s="9">
        <f t="shared" si="6"/>
        <v>0.5</v>
      </c>
    </row>
    <row r="47" ht="54">
      <c r="A47" s="5" t="s">
        <v>17</v>
      </c>
      <c r="B47" s="6" t="s">
        <v>108</v>
      </c>
      <c r="C47" s="7" t="s">
        <v>109</v>
      </c>
      <c r="D47" s="7" t="s">
        <v>110</v>
      </c>
      <c r="E47" s="7" t="s">
        <v>112</v>
      </c>
      <c r="F47" s="5" t="s">
        <v>22</v>
      </c>
      <c r="G47" s="8">
        <f t="shared" si="0"/>
        <v>1</v>
      </c>
      <c r="H47" s="9" t="s">
        <v>74</v>
      </c>
      <c r="I47" s="9">
        <f t="shared" si="1"/>
        <v>0</v>
      </c>
      <c r="J47" s="9">
        <f t="shared" si="6"/>
        <v>0.5</v>
      </c>
    </row>
    <row r="48" ht="72">
      <c r="A48" s="5" t="s">
        <v>17</v>
      </c>
      <c r="B48" s="6" t="s">
        <v>108</v>
      </c>
      <c r="C48" s="7" t="s">
        <v>109</v>
      </c>
      <c r="D48" s="7" t="s">
        <v>110</v>
      </c>
      <c r="E48" s="7" t="s">
        <v>113</v>
      </c>
      <c r="F48" s="5" t="s">
        <v>22</v>
      </c>
      <c r="G48" s="8">
        <f t="shared" si="0"/>
        <v>1</v>
      </c>
      <c r="H48" s="9" t="s">
        <v>74</v>
      </c>
      <c r="I48" s="9">
        <f t="shared" si="1"/>
        <v>0</v>
      </c>
      <c r="J48" s="9">
        <f t="shared" si="6"/>
        <v>0.5</v>
      </c>
    </row>
    <row r="49" ht="72">
      <c r="A49" s="5" t="s">
        <v>17</v>
      </c>
      <c r="B49" s="6" t="s">
        <v>108</v>
      </c>
      <c r="C49" s="7" t="s">
        <v>109</v>
      </c>
      <c r="D49" s="7" t="s">
        <v>110</v>
      </c>
      <c r="E49" s="7" t="s">
        <v>114</v>
      </c>
      <c r="F49" s="5" t="s">
        <v>22</v>
      </c>
      <c r="G49" s="8">
        <f t="shared" si="0"/>
        <v>1</v>
      </c>
      <c r="H49" s="9" t="s">
        <v>74</v>
      </c>
      <c r="I49" s="9">
        <f t="shared" si="1"/>
        <v>0</v>
      </c>
      <c r="J49" s="9">
        <f t="shared" si="6"/>
        <v>0.5</v>
      </c>
    </row>
    <row r="50" ht="72">
      <c r="A50" s="5" t="s">
        <v>17</v>
      </c>
      <c r="B50" s="6" t="s">
        <v>108</v>
      </c>
      <c r="C50" s="7" t="s">
        <v>115</v>
      </c>
      <c r="D50" s="7" t="s">
        <v>116</v>
      </c>
      <c r="E50" s="7" t="s">
        <v>117</v>
      </c>
      <c r="F50" s="5" t="s">
        <v>53</v>
      </c>
      <c r="G50" s="8">
        <f t="shared" si="0"/>
        <v>0</v>
      </c>
      <c r="H50" s="9" t="s">
        <v>74</v>
      </c>
      <c r="I50" s="9">
        <f t="shared" si="1"/>
        <v>0</v>
      </c>
      <c r="J50" s="9">
        <f t="shared" si="6"/>
        <v>0</v>
      </c>
    </row>
    <row r="51" ht="72">
      <c r="A51" s="5" t="s">
        <v>17</v>
      </c>
      <c r="B51" s="6" t="s">
        <v>108</v>
      </c>
      <c r="C51" s="7" t="s">
        <v>115</v>
      </c>
      <c r="D51" s="7" t="s">
        <v>116</v>
      </c>
      <c r="E51" s="7" t="s">
        <v>118</v>
      </c>
      <c r="F51" s="5" t="s">
        <v>53</v>
      </c>
      <c r="G51" s="8">
        <f t="shared" si="0"/>
        <v>0</v>
      </c>
      <c r="H51" s="9" t="s">
        <v>74</v>
      </c>
      <c r="I51" s="9">
        <f t="shared" si="1"/>
        <v>0</v>
      </c>
      <c r="J51" s="9">
        <f t="shared" si="6"/>
        <v>0</v>
      </c>
    </row>
    <row r="52" ht="72">
      <c r="A52" s="5" t="s">
        <v>17</v>
      </c>
      <c r="B52" s="6" t="s">
        <v>108</v>
      </c>
      <c r="C52" s="7" t="s">
        <v>115</v>
      </c>
      <c r="D52" s="7" t="s">
        <v>116</v>
      </c>
      <c r="E52" s="7" t="s">
        <v>119</v>
      </c>
      <c r="F52" s="5" t="s">
        <v>53</v>
      </c>
      <c r="G52" s="8">
        <f t="shared" si="0"/>
        <v>0</v>
      </c>
      <c r="H52" s="9" t="s">
        <v>74</v>
      </c>
      <c r="I52" s="9">
        <f t="shared" si="1"/>
        <v>0</v>
      </c>
      <c r="J52" s="9">
        <f t="shared" si="6"/>
        <v>0</v>
      </c>
    </row>
    <row r="53" ht="54">
      <c r="A53" s="5" t="s">
        <v>17</v>
      </c>
      <c r="B53" s="6" t="s">
        <v>108</v>
      </c>
      <c r="C53" s="7" t="s">
        <v>115</v>
      </c>
      <c r="D53" s="7" t="s">
        <v>116</v>
      </c>
      <c r="E53" s="7" t="s">
        <v>120</v>
      </c>
      <c r="F53" s="5" t="s">
        <v>53</v>
      </c>
      <c r="G53" s="8">
        <f t="shared" si="0"/>
        <v>0</v>
      </c>
      <c r="H53" s="9" t="s">
        <v>74</v>
      </c>
      <c r="I53" s="9">
        <f t="shared" si="1"/>
        <v>0</v>
      </c>
      <c r="J53" s="9">
        <f t="shared" si="6"/>
        <v>0</v>
      </c>
    </row>
    <row r="54" ht="54">
      <c r="A54" s="5" t="s">
        <v>17</v>
      </c>
      <c r="B54" s="6" t="s">
        <v>108</v>
      </c>
      <c r="C54" s="7" t="s">
        <v>121</v>
      </c>
      <c r="D54" s="7" t="s">
        <v>122</v>
      </c>
      <c r="E54" s="7" t="s">
        <v>123</v>
      </c>
      <c r="F54" s="5" t="s">
        <v>53</v>
      </c>
      <c r="G54" s="8">
        <f t="shared" si="0"/>
        <v>0</v>
      </c>
      <c r="H54" s="9" t="s">
        <v>74</v>
      </c>
      <c r="I54" s="9">
        <f t="shared" si="1"/>
        <v>0</v>
      </c>
      <c r="J54" s="9">
        <f t="shared" si="6"/>
        <v>0</v>
      </c>
    </row>
    <row r="55" ht="72">
      <c r="A55" s="5" t="s">
        <v>17</v>
      </c>
      <c r="B55" s="6" t="s">
        <v>108</v>
      </c>
      <c r="C55" s="7" t="s">
        <v>121</v>
      </c>
      <c r="D55" s="7" t="s">
        <v>122</v>
      </c>
      <c r="E55" s="7" t="s">
        <v>124</v>
      </c>
      <c r="F55" s="5" t="s">
        <v>53</v>
      </c>
      <c r="G55" s="8">
        <f t="shared" si="0"/>
        <v>0</v>
      </c>
      <c r="H55" s="9" t="s">
        <v>74</v>
      </c>
      <c r="I55" s="9">
        <f t="shared" si="1"/>
        <v>0</v>
      </c>
      <c r="J55" s="9">
        <f t="shared" si="6"/>
        <v>0</v>
      </c>
    </row>
    <row r="56" ht="54">
      <c r="A56" s="5" t="s">
        <v>17</v>
      </c>
      <c r="B56" s="6" t="s">
        <v>108</v>
      </c>
      <c r="C56" s="7" t="s">
        <v>121</v>
      </c>
      <c r="D56" s="7" t="s">
        <v>122</v>
      </c>
      <c r="E56" s="7" t="s">
        <v>125</v>
      </c>
      <c r="F56" s="5" t="s">
        <v>53</v>
      </c>
      <c r="G56" s="8">
        <f t="shared" si="0"/>
        <v>0</v>
      </c>
      <c r="H56" s="9" t="s">
        <v>74</v>
      </c>
      <c r="I56" s="9">
        <f t="shared" si="1"/>
        <v>0</v>
      </c>
      <c r="J56" s="9">
        <f t="shared" si="6"/>
        <v>0</v>
      </c>
    </row>
    <row r="57" ht="54">
      <c r="A57" s="5" t="s">
        <v>17</v>
      </c>
      <c r="B57" s="6" t="s">
        <v>108</v>
      </c>
      <c r="C57" s="7" t="s">
        <v>121</v>
      </c>
      <c r="D57" s="7" t="s">
        <v>122</v>
      </c>
      <c r="E57" s="7" t="s">
        <v>126</v>
      </c>
      <c r="F57" s="5" t="s">
        <v>53</v>
      </c>
      <c r="G57" s="8">
        <f t="shared" si="0"/>
        <v>0</v>
      </c>
      <c r="H57" s="9" t="s">
        <v>74</v>
      </c>
      <c r="I57" s="9">
        <f t="shared" si="1"/>
        <v>0</v>
      </c>
      <c r="J57" s="9">
        <f t="shared" si="6"/>
        <v>0</v>
      </c>
    </row>
    <row r="58" ht="72">
      <c r="A58" s="5" t="s">
        <v>17</v>
      </c>
      <c r="B58" s="6" t="s">
        <v>108</v>
      </c>
      <c r="C58" s="7" t="s">
        <v>127</v>
      </c>
      <c r="D58" s="7" t="s">
        <v>128</v>
      </c>
      <c r="E58" s="7" t="s">
        <v>129</v>
      </c>
      <c r="F58" s="5" t="s">
        <v>22</v>
      </c>
      <c r="G58" s="8">
        <f t="shared" si="0"/>
        <v>1</v>
      </c>
      <c r="H58" s="9" t="s">
        <v>31</v>
      </c>
      <c r="I58" s="9">
        <f t="shared" si="1"/>
        <v>0.5</v>
      </c>
      <c r="J58" s="9">
        <f t="shared" si="6"/>
        <v>0.75</v>
      </c>
    </row>
    <row r="59" ht="90">
      <c r="A59" s="5" t="s">
        <v>17</v>
      </c>
      <c r="B59" s="6" t="s">
        <v>108</v>
      </c>
      <c r="C59" s="7" t="s">
        <v>127</v>
      </c>
      <c r="D59" s="7" t="s">
        <v>128</v>
      </c>
      <c r="E59" s="7" t="s">
        <v>130</v>
      </c>
      <c r="F59" s="5" t="s">
        <v>22</v>
      </c>
      <c r="G59" s="8">
        <f t="shared" si="0"/>
        <v>1</v>
      </c>
      <c r="H59" s="9" t="s">
        <v>31</v>
      </c>
      <c r="I59" s="9">
        <f t="shared" si="1"/>
        <v>0.5</v>
      </c>
      <c r="J59" s="9">
        <f t="shared" si="6"/>
        <v>0.75</v>
      </c>
    </row>
    <row r="60" ht="54">
      <c r="A60" s="5" t="s">
        <v>17</v>
      </c>
      <c r="B60" s="6" t="s">
        <v>108</v>
      </c>
      <c r="C60" s="7" t="s">
        <v>127</v>
      </c>
      <c r="D60" s="7" t="s">
        <v>128</v>
      </c>
      <c r="E60" s="7" t="s">
        <v>131</v>
      </c>
      <c r="F60" s="5" t="s">
        <v>22</v>
      </c>
      <c r="G60" s="8">
        <f t="shared" si="0"/>
        <v>1</v>
      </c>
      <c r="H60" s="9" t="s">
        <v>31</v>
      </c>
      <c r="I60" s="9">
        <f t="shared" si="1"/>
        <v>0.5</v>
      </c>
      <c r="J60" s="9">
        <f t="shared" si="6"/>
        <v>0.75</v>
      </c>
    </row>
    <row r="61" ht="72">
      <c r="A61" s="5" t="s">
        <v>17</v>
      </c>
      <c r="B61" s="6" t="s">
        <v>108</v>
      </c>
      <c r="C61" s="7" t="s">
        <v>127</v>
      </c>
      <c r="D61" s="7" t="s">
        <v>128</v>
      </c>
      <c r="E61" s="7" t="s">
        <v>132</v>
      </c>
      <c r="F61" s="5" t="s">
        <v>53</v>
      </c>
      <c r="G61" s="8">
        <f t="shared" si="0"/>
        <v>0</v>
      </c>
      <c r="H61" s="9" t="s">
        <v>74</v>
      </c>
      <c r="I61" s="9">
        <f t="shared" si="1"/>
        <v>0</v>
      </c>
      <c r="J61" s="9">
        <f t="shared" si="6"/>
        <v>0</v>
      </c>
    </row>
    <row r="62" ht="90">
      <c r="A62" s="5" t="s">
        <v>17</v>
      </c>
      <c r="B62" s="6" t="s">
        <v>108</v>
      </c>
      <c r="C62" s="7" t="s">
        <v>133</v>
      </c>
      <c r="D62" s="7" t="s">
        <v>134</v>
      </c>
      <c r="E62" s="7" t="s">
        <v>135</v>
      </c>
      <c r="F62" s="5" t="s">
        <v>53</v>
      </c>
      <c r="G62" s="8">
        <f t="shared" si="0"/>
        <v>0</v>
      </c>
      <c r="H62" s="9" t="s">
        <v>74</v>
      </c>
      <c r="I62" s="9">
        <f t="shared" si="1"/>
        <v>0</v>
      </c>
      <c r="J62" s="9">
        <f t="shared" si="6"/>
        <v>0</v>
      </c>
    </row>
    <row r="63" ht="90">
      <c r="A63" s="5" t="s">
        <v>17</v>
      </c>
      <c r="B63" s="6" t="s">
        <v>108</v>
      </c>
      <c r="C63" s="7" t="s">
        <v>133</v>
      </c>
      <c r="D63" s="7" t="s">
        <v>134</v>
      </c>
      <c r="E63" s="7" t="s">
        <v>136</v>
      </c>
      <c r="F63" s="5" t="s">
        <v>53</v>
      </c>
      <c r="G63" s="8">
        <f t="shared" si="0"/>
        <v>0</v>
      </c>
      <c r="H63" s="9" t="s">
        <v>74</v>
      </c>
      <c r="I63" s="9">
        <f t="shared" si="1"/>
        <v>0</v>
      </c>
      <c r="J63" s="9">
        <f t="shared" si="6"/>
        <v>0</v>
      </c>
    </row>
    <row r="64" ht="72">
      <c r="A64" s="5" t="s">
        <v>17</v>
      </c>
      <c r="B64" s="6" t="s">
        <v>108</v>
      </c>
      <c r="C64" s="7" t="s">
        <v>133</v>
      </c>
      <c r="D64" s="7" t="s">
        <v>134</v>
      </c>
      <c r="E64" s="7" t="s">
        <v>137</v>
      </c>
      <c r="F64" s="5" t="s">
        <v>53</v>
      </c>
      <c r="G64" s="8">
        <f t="shared" si="0"/>
        <v>0</v>
      </c>
      <c r="H64" s="9" t="s">
        <v>74</v>
      </c>
      <c r="I64" s="9">
        <f t="shared" si="1"/>
        <v>0</v>
      </c>
      <c r="J64" s="9">
        <f t="shared" si="6"/>
        <v>0</v>
      </c>
    </row>
    <row r="65" ht="72">
      <c r="A65" s="5" t="s">
        <v>17</v>
      </c>
      <c r="B65" s="6" t="s">
        <v>108</v>
      </c>
      <c r="C65" s="7" t="s">
        <v>133</v>
      </c>
      <c r="D65" s="7" t="s">
        <v>134</v>
      </c>
      <c r="E65" s="7" t="s">
        <v>138</v>
      </c>
      <c r="F65" s="5" t="s">
        <v>53</v>
      </c>
      <c r="G65" s="8">
        <f t="shared" si="0"/>
        <v>0</v>
      </c>
      <c r="H65" s="9" t="s">
        <v>74</v>
      </c>
      <c r="I65" s="9">
        <f t="shared" si="1"/>
        <v>0</v>
      </c>
      <c r="J65" s="9">
        <f t="shared" si="6"/>
        <v>0</v>
      </c>
    </row>
    <row r="66" ht="36">
      <c r="A66" s="16" t="s">
        <v>25</v>
      </c>
      <c r="B66" s="17" t="s">
        <v>18</v>
      </c>
      <c r="C66" s="7" t="s">
        <v>139</v>
      </c>
      <c r="D66" s="6" t="s">
        <v>20</v>
      </c>
      <c r="E66" s="7" t="s">
        <v>21</v>
      </c>
      <c r="F66" s="5" t="s">
        <v>22</v>
      </c>
      <c r="G66" s="8">
        <f t="shared" ref="G66:G67" si="8">IF(F66="Cumple",1,IF(F66="Cumple Parcialmente",0.5,IF(F66="No Cumple",0,"")))</f>
        <v>1</v>
      </c>
      <c r="H66" s="9" t="s">
        <v>24</v>
      </c>
      <c r="I66" s="9">
        <f t="shared" ref="I66:I129" si="9">IF(H66="Cumple",1,IF(H66="Cumple Parcialmente",0.5,IF(H66="No Cumple",0,"")))</f>
        <v>1</v>
      </c>
      <c r="J66" s="9">
        <f t="shared" si="6"/>
        <v>1</v>
      </c>
    </row>
    <row r="67" ht="36">
      <c r="A67" s="16" t="s">
        <v>25</v>
      </c>
      <c r="B67" s="6" t="s">
        <v>18</v>
      </c>
      <c r="C67" s="7" t="s">
        <v>139</v>
      </c>
      <c r="D67" s="6" t="s">
        <v>20</v>
      </c>
      <c r="E67" s="7" t="s">
        <v>23</v>
      </c>
      <c r="F67" s="5" t="s">
        <v>22</v>
      </c>
      <c r="G67" s="8">
        <f t="shared" si="8"/>
        <v>1</v>
      </c>
      <c r="H67" s="9" t="s">
        <v>24</v>
      </c>
      <c r="I67" s="9">
        <f t="shared" si="9"/>
        <v>1</v>
      </c>
      <c r="J67" s="9">
        <f t="shared" ref="J67:J130" si="10">AVERAGE(G67,I67)</f>
        <v>1</v>
      </c>
    </row>
    <row r="68" ht="54">
      <c r="A68" s="16" t="s">
        <v>25</v>
      </c>
      <c r="B68" s="17" t="s">
        <v>18</v>
      </c>
      <c r="C68" s="7" t="s">
        <v>26</v>
      </c>
      <c r="D68" s="7" t="s">
        <v>27</v>
      </c>
      <c r="E68" s="7" t="s">
        <v>28</v>
      </c>
      <c r="F68" s="5" t="s">
        <v>22</v>
      </c>
      <c r="G68" s="8">
        <f t="shared" ref="G68:G131" si="11">IF(F68="Cumple",1,IF(F68="Cumple Parcialmente",0.5,IF(F68="No Cumple",0,"")))</f>
        <v>1</v>
      </c>
      <c r="H68" s="9" t="s">
        <v>22</v>
      </c>
      <c r="I68" s="9">
        <f t="shared" si="9"/>
        <v>1</v>
      </c>
      <c r="J68" s="9">
        <f t="shared" si="10"/>
        <v>1</v>
      </c>
    </row>
    <row r="69" ht="54">
      <c r="A69" s="16" t="s">
        <v>25</v>
      </c>
      <c r="B69" s="6" t="s">
        <v>18</v>
      </c>
      <c r="C69" s="7" t="s">
        <v>26</v>
      </c>
      <c r="D69" s="7" t="s">
        <v>27</v>
      </c>
      <c r="E69" s="7" t="s">
        <v>30</v>
      </c>
      <c r="F69" s="5" t="s">
        <v>22</v>
      </c>
      <c r="G69" s="8">
        <f t="shared" si="11"/>
        <v>1</v>
      </c>
      <c r="H69" s="9" t="s">
        <v>24</v>
      </c>
      <c r="I69" s="9">
        <f t="shared" si="9"/>
        <v>1</v>
      </c>
      <c r="J69" s="9">
        <f t="shared" si="10"/>
        <v>1</v>
      </c>
    </row>
    <row r="70" ht="54">
      <c r="A70" s="16" t="s">
        <v>25</v>
      </c>
      <c r="B70" s="17" t="s">
        <v>18</v>
      </c>
      <c r="C70" s="7" t="s">
        <v>33</v>
      </c>
      <c r="D70" s="7" t="s">
        <v>34</v>
      </c>
      <c r="E70" s="7" t="s">
        <v>35</v>
      </c>
      <c r="F70" s="5" t="s">
        <v>22</v>
      </c>
      <c r="G70" s="8">
        <f t="shared" si="11"/>
        <v>1</v>
      </c>
      <c r="H70" s="9" t="s">
        <v>31</v>
      </c>
      <c r="I70" s="9">
        <f t="shared" si="9"/>
        <v>0.5</v>
      </c>
      <c r="J70" s="9">
        <f t="shared" si="10"/>
        <v>0.75</v>
      </c>
    </row>
    <row r="71" ht="36">
      <c r="A71" s="16" t="s">
        <v>25</v>
      </c>
      <c r="B71" s="6" t="s">
        <v>18</v>
      </c>
      <c r="C71" s="7" t="s">
        <v>33</v>
      </c>
      <c r="D71" s="7" t="s">
        <v>34</v>
      </c>
      <c r="E71" s="7" t="s">
        <v>37</v>
      </c>
      <c r="F71" s="5" t="s">
        <v>22</v>
      </c>
      <c r="G71" s="8">
        <f t="shared" si="11"/>
        <v>1</v>
      </c>
      <c r="H71" s="9" t="s">
        <v>31</v>
      </c>
      <c r="I71" s="9">
        <f t="shared" si="9"/>
        <v>0.5</v>
      </c>
      <c r="J71" s="9">
        <f t="shared" si="10"/>
        <v>0.75</v>
      </c>
    </row>
    <row r="72" ht="36">
      <c r="A72" s="16" t="s">
        <v>25</v>
      </c>
      <c r="B72" s="17" t="s">
        <v>18</v>
      </c>
      <c r="C72" s="7" t="s">
        <v>39</v>
      </c>
      <c r="D72" s="7" t="s">
        <v>40</v>
      </c>
      <c r="E72" s="7" t="s">
        <v>41</v>
      </c>
      <c r="F72" s="5" t="s">
        <v>22</v>
      </c>
      <c r="G72" s="8">
        <f t="shared" si="11"/>
        <v>1</v>
      </c>
      <c r="H72" s="9" t="s">
        <v>31</v>
      </c>
      <c r="I72" s="9">
        <f t="shared" si="9"/>
        <v>0.5</v>
      </c>
      <c r="J72" s="9">
        <f t="shared" si="10"/>
        <v>0.75</v>
      </c>
    </row>
    <row r="73" ht="54">
      <c r="A73" s="16" t="s">
        <v>25</v>
      </c>
      <c r="B73" s="6" t="s">
        <v>18</v>
      </c>
      <c r="C73" s="7" t="s">
        <v>39</v>
      </c>
      <c r="D73" s="7" t="s">
        <v>40</v>
      </c>
      <c r="E73" s="7" t="s">
        <v>43</v>
      </c>
      <c r="F73" s="5" t="s">
        <v>22</v>
      </c>
      <c r="G73" s="8">
        <f t="shared" si="11"/>
        <v>1</v>
      </c>
      <c r="H73" s="9" t="s">
        <v>31</v>
      </c>
      <c r="I73" s="9">
        <f t="shared" si="9"/>
        <v>0.5</v>
      </c>
      <c r="J73" s="9">
        <f t="shared" si="10"/>
        <v>0.75</v>
      </c>
    </row>
    <row r="74" ht="72">
      <c r="A74" s="16" t="s">
        <v>25</v>
      </c>
      <c r="B74" s="17" t="s">
        <v>18</v>
      </c>
      <c r="C74" s="7" t="s">
        <v>44</v>
      </c>
      <c r="D74" s="7" t="s">
        <v>45</v>
      </c>
      <c r="E74" s="7" t="s">
        <v>46</v>
      </c>
      <c r="F74" s="5" t="s">
        <v>22</v>
      </c>
      <c r="G74" s="8">
        <f t="shared" si="11"/>
        <v>1</v>
      </c>
      <c r="H74" s="9" t="s">
        <v>24</v>
      </c>
      <c r="I74" s="9">
        <f t="shared" si="9"/>
        <v>1</v>
      </c>
      <c r="J74" s="9">
        <f t="shared" si="10"/>
        <v>1</v>
      </c>
    </row>
    <row r="75" ht="72">
      <c r="A75" s="16" t="s">
        <v>25</v>
      </c>
      <c r="B75" s="6" t="s">
        <v>18</v>
      </c>
      <c r="C75" s="7" t="s">
        <v>44</v>
      </c>
      <c r="D75" s="7" t="s">
        <v>45</v>
      </c>
      <c r="E75" s="7" t="s">
        <v>47</v>
      </c>
      <c r="F75" s="5" t="s">
        <v>22</v>
      </c>
      <c r="G75" s="8">
        <f t="shared" si="11"/>
        <v>1</v>
      </c>
      <c r="H75" s="9" t="s">
        <v>31</v>
      </c>
      <c r="I75" s="9">
        <f t="shared" si="9"/>
        <v>0.5</v>
      </c>
      <c r="J75" s="9">
        <f t="shared" si="10"/>
        <v>0.75</v>
      </c>
    </row>
    <row r="76" ht="54">
      <c r="A76" s="16" t="s">
        <v>25</v>
      </c>
      <c r="B76" s="18" t="s">
        <v>48</v>
      </c>
      <c r="C76" s="7" t="s">
        <v>49</v>
      </c>
      <c r="D76" s="7" t="s">
        <v>50</v>
      </c>
      <c r="E76" s="7" t="s">
        <v>51</v>
      </c>
      <c r="F76" s="5" t="s">
        <v>22</v>
      </c>
      <c r="G76" s="8">
        <f t="shared" si="11"/>
        <v>1</v>
      </c>
      <c r="H76" s="9" t="s">
        <v>74</v>
      </c>
      <c r="I76" s="9">
        <f t="shared" si="9"/>
        <v>0</v>
      </c>
      <c r="J76" s="9">
        <f t="shared" si="10"/>
        <v>0.5</v>
      </c>
    </row>
    <row r="77" ht="54">
      <c r="A77" s="16" t="s">
        <v>25</v>
      </c>
      <c r="B77" s="15" t="s">
        <v>48</v>
      </c>
      <c r="C77" s="7" t="s">
        <v>49</v>
      </c>
      <c r="D77" s="7" t="s">
        <v>50</v>
      </c>
      <c r="E77" s="7" t="s">
        <v>52</v>
      </c>
      <c r="F77" s="5" t="s">
        <v>22</v>
      </c>
      <c r="G77" s="8">
        <f t="shared" si="11"/>
        <v>1</v>
      </c>
      <c r="H77" s="9" t="s">
        <v>74</v>
      </c>
      <c r="I77" s="9">
        <f t="shared" si="9"/>
        <v>0</v>
      </c>
      <c r="J77" s="9">
        <f t="shared" si="10"/>
        <v>0.5</v>
      </c>
    </row>
    <row r="78" ht="54">
      <c r="A78" s="16" t="s">
        <v>25</v>
      </c>
      <c r="B78" s="18" t="s">
        <v>48</v>
      </c>
      <c r="C78" s="7" t="s">
        <v>49</v>
      </c>
      <c r="D78" s="7" t="s">
        <v>50</v>
      </c>
      <c r="E78" s="7" t="s">
        <v>54</v>
      </c>
      <c r="F78" s="5" t="s">
        <v>22</v>
      </c>
      <c r="G78" s="8">
        <f t="shared" si="11"/>
        <v>1</v>
      </c>
      <c r="H78" s="9" t="s">
        <v>74</v>
      </c>
      <c r="I78" s="9">
        <f t="shared" si="9"/>
        <v>0</v>
      </c>
      <c r="J78" s="9">
        <f t="shared" si="10"/>
        <v>0.5</v>
      </c>
    </row>
    <row r="79" ht="54">
      <c r="A79" s="16" t="s">
        <v>25</v>
      </c>
      <c r="B79" s="15" t="s">
        <v>48</v>
      </c>
      <c r="C79" s="7" t="s">
        <v>49</v>
      </c>
      <c r="D79" s="7" t="s">
        <v>50</v>
      </c>
      <c r="E79" s="7" t="s">
        <v>55</v>
      </c>
      <c r="F79" s="5" t="s">
        <v>22</v>
      </c>
      <c r="G79" s="8">
        <f t="shared" si="11"/>
        <v>1</v>
      </c>
      <c r="H79" s="9" t="s">
        <v>74</v>
      </c>
      <c r="I79" s="9">
        <f t="shared" si="9"/>
        <v>0</v>
      </c>
      <c r="J79" s="9">
        <f t="shared" si="10"/>
        <v>0.5</v>
      </c>
    </row>
    <row r="80" ht="72">
      <c r="A80" s="16" t="s">
        <v>25</v>
      </c>
      <c r="B80" s="18" t="s">
        <v>48</v>
      </c>
      <c r="C80" s="7" t="s">
        <v>56</v>
      </c>
      <c r="D80" s="7" t="s">
        <v>57</v>
      </c>
      <c r="E80" s="7" t="s">
        <v>58</v>
      </c>
      <c r="F80" s="5" t="s">
        <v>22</v>
      </c>
      <c r="G80" s="8">
        <f t="shared" si="11"/>
        <v>1</v>
      </c>
      <c r="H80" s="9" t="s">
        <v>24</v>
      </c>
      <c r="I80" s="9">
        <f t="shared" si="9"/>
        <v>1</v>
      </c>
      <c r="J80" s="9">
        <f t="shared" si="10"/>
        <v>1</v>
      </c>
    </row>
    <row r="81" ht="72">
      <c r="A81" s="16" t="s">
        <v>25</v>
      </c>
      <c r="B81" s="15" t="s">
        <v>48</v>
      </c>
      <c r="C81" s="7" t="s">
        <v>56</v>
      </c>
      <c r="D81" s="7" t="s">
        <v>57</v>
      </c>
      <c r="E81" s="7" t="s">
        <v>59</v>
      </c>
      <c r="F81" s="5" t="s">
        <v>22</v>
      </c>
      <c r="G81" s="8">
        <f t="shared" si="11"/>
        <v>1</v>
      </c>
      <c r="H81" s="9" t="s">
        <v>24</v>
      </c>
      <c r="I81" s="9">
        <f t="shared" si="9"/>
        <v>1</v>
      </c>
      <c r="J81" s="9">
        <f t="shared" si="10"/>
        <v>1</v>
      </c>
    </row>
    <row r="82" ht="54">
      <c r="A82" s="16" t="s">
        <v>25</v>
      </c>
      <c r="B82" s="18" t="s">
        <v>48</v>
      </c>
      <c r="C82" s="7" t="s">
        <v>60</v>
      </c>
      <c r="D82" s="7" t="s">
        <v>61</v>
      </c>
      <c r="E82" s="7" t="s">
        <v>62</v>
      </c>
      <c r="F82" s="5" t="s">
        <v>22</v>
      </c>
      <c r="G82" s="8">
        <f t="shared" si="11"/>
        <v>1</v>
      </c>
      <c r="H82" s="9" t="s">
        <v>24</v>
      </c>
      <c r="I82" s="9">
        <f t="shared" si="9"/>
        <v>1</v>
      </c>
      <c r="J82" s="9">
        <f t="shared" si="10"/>
        <v>1</v>
      </c>
    </row>
    <row r="83" ht="90">
      <c r="A83" s="16" t="s">
        <v>25</v>
      </c>
      <c r="B83" s="15" t="s">
        <v>48</v>
      </c>
      <c r="C83" s="7" t="s">
        <v>60</v>
      </c>
      <c r="D83" s="7" t="s">
        <v>61</v>
      </c>
      <c r="E83" s="7" t="s">
        <v>63</v>
      </c>
      <c r="F83" s="5" t="s">
        <v>22</v>
      </c>
      <c r="G83" s="8">
        <f t="shared" si="11"/>
        <v>1</v>
      </c>
      <c r="H83" s="9" t="s">
        <v>24</v>
      </c>
      <c r="I83" s="9">
        <f t="shared" si="9"/>
        <v>1</v>
      </c>
      <c r="J83" s="9">
        <f t="shared" si="10"/>
        <v>1</v>
      </c>
    </row>
    <row r="84" ht="54">
      <c r="A84" s="16" t="s">
        <v>25</v>
      </c>
      <c r="B84" s="18" t="s">
        <v>48</v>
      </c>
      <c r="C84" s="7" t="s">
        <v>60</v>
      </c>
      <c r="D84" s="7" t="s">
        <v>61</v>
      </c>
      <c r="E84" s="7" t="s">
        <v>64</v>
      </c>
      <c r="F84" s="5" t="s">
        <v>22</v>
      </c>
      <c r="G84" s="8">
        <f t="shared" si="11"/>
        <v>1</v>
      </c>
      <c r="H84" s="9" t="s">
        <v>31</v>
      </c>
      <c r="I84" s="9">
        <f t="shared" si="9"/>
        <v>0.5</v>
      </c>
      <c r="J84" s="9">
        <f t="shared" si="10"/>
        <v>0.75</v>
      </c>
    </row>
    <row r="85" ht="54">
      <c r="A85" s="16" t="s">
        <v>25</v>
      </c>
      <c r="B85" s="15" t="s">
        <v>48</v>
      </c>
      <c r="C85" s="7" t="s">
        <v>65</v>
      </c>
      <c r="D85" s="7" t="s">
        <v>66</v>
      </c>
      <c r="E85" s="7" t="s">
        <v>67</v>
      </c>
      <c r="F85" s="5" t="s">
        <v>22</v>
      </c>
      <c r="G85" s="8">
        <f t="shared" si="11"/>
        <v>1</v>
      </c>
      <c r="H85" s="9" t="s">
        <v>24</v>
      </c>
      <c r="I85" s="9">
        <f t="shared" si="9"/>
        <v>1</v>
      </c>
      <c r="J85" s="9">
        <f t="shared" si="10"/>
        <v>1</v>
      </c>
    </row>
    <row r="86" ht="72">
      <c r="A86" s="16" t="s">
        <v>25</v>
      </c>
      <c r="B86" s="18" t="s">
        <v>48</v>
      </c>
      <c r="C86" s="7" t="s">
        <v>65</v>
      </c>
      <c r="D86" s="7" t="s">
        <v>66</v>
      </c>
      <c r="E86" s="7" t="s">
        <v>68</v>
      </c>
      <c r="F86" s="5" t="s">
        <v>22</v>
      </c>
      <c r="G86" s="8">
        <f t="shared" si="11"/>
        <v>1</v>
      </c>
      <c r="H86" s="9" t="s">
        <v>31</v>
      </c>
      <c r="I86" s="9">
        <f t="shared" si="9"/>
        <v>0.5</v>
      </c>
      <c r="J86" s="9">
        <f t="shared" si="10"/>
        <v>0.75</v>
      </c>
    </row>
    <row r="87" ht="54">
      <c r="A87" s="16" t="s">
        <v>25</v>
      </c>
      <c r="B87" s="15" t="s">
        <v>48</v>
      </c>
      <c r="C87" s="7" t="s">
        <v>65</v>
      </c>
      <c r="D87" s="7" t="s">
        <v>66</v>
      </c>
      <c r="E87" s="7" t="s">
        <v>69</v>
      </c>
      <c r="F87" s="5" t="s">
        <v>22</v>
      </c>
      <c r="G87" s="8">
        <f t="shared" si="11"/>
        <v>1</v>
      </c>
      <c r="H87" s="9" t="s">
        <v>74</v>
      </c>
      <c r="I87" s="9">
        <f t="shared" si="9"/>
        <v>0</v>
      </c>
      <c r="J87" s="9">
        <f t="shared" si="10"/>
        <v>0.5</v>
      </c>
    </row>
    <row r="88" ht="72">
      <c r="A88" s="16" t="s">
        <v>25</v>
      </c>
      <c r="B88" s="18" t="s">
        <v>48</v>
      </c>
      <c r="C88" s="7" t="s">
        <v>71</v>
      </c>
      <c r="D88" s="7" t="s">
        <v>72</v>
      </c>
      <c r="E88" s="7" t="s">
        <v>73</v>
      </c>
      <c r="F88" s="5" t="s">
        <v>22</v>
      </c>
      <c r="G88" s="8">
        <f t="shared" si="11"/>
        <v>1</v>
      </c>
      <c r="H88" s="9" t="s">
        <v>24</v>
      </c>
      <c r="I88" s="9">
        <f t="shared" si="9"/>
        <v>1</v>
      </c>
      <c r="J88" s="9">
        <f t="shared" si="10"/>
        <v>1</v>
      </c>
    </row>
    <row r="89" ht="72">
      <c r="A89" s="16" t="s">
        <v>25</v>
      </c>
      <c r="B89" s="15" t="s">
        <v>48</v>
      </c>
      <c r="C89" s="7" t="s">
        <v>71</v>
      </c>
      <c r="D89" s="7" t="s">
        <v>72</v>
      </c>
      <c r="E89" s="7" t="s">
        <v>75</v>
      </c>
      <c r="F89" s="5" t="s">
        <v>22</v>
      </c>
      <c r="G89" s="8">
        <f t="shared" si="11"/>
        <v>1</v>
      </c>
      <c r="H89" s="9" t="s">
        <v>24</v>
      </c>
      <c r="I89" s="9">
        <f t="shared" si="9"/>
        <v>1</v>
      </c>
      <c r="J89" s="9">
        <f t="shared" si="10"/>
        <v>1</v>
      </c>
    </row>
    <row r="90" ht="72">
      <c r="A90" s="16" t="s">
        <v>25</v>
      </c>
      <c r="B90" s="18" t="s">
        <v>48</v>
      </c>
      <c r="C90" s="7" t="s">
        <v>71</v>
      </c>
      <c r="D90" s="7" t="s">
        <v>72</v>
      </c>
      <c r="E90" s="7" t="s">
        <v>76</v>
      </c>
      <c r="F90" s="5" t="s">
        <v>22</v>
      </c>
      <c r="G90" s="8">
        <f t="shared" si="11"/>
        <v>1</v>
      </c>
      <c r="H90" s="9" t="s">
        <v>24</v>
      </c>
      <c r="I90" s="9">
        <f t="shared" si="9"/>
        <v>1</v>
      </c>
      <c r="J90" s="9">
        <f t="shared" si="10"/>
        <v>1</v>
      </c>
    </row>
    <row r="91" ht="72">
      <c r="A91" s="16" t="s">
        <v>25</v>
      </c>
      <c r="B91" s="15" t="s">
        <v>48</v>
      </c>
      <c r="C91" s="7" t="s">
        <v>71</v>
      </c>
      <c r="D91" s="7" t="s">
        <v>72</v>
      </c>
      <c r="E91" s="7" t="s">
        <v>77</v>
      </c>
      <c r="F91" s="5" t="s">
        <v>22</v>
      </c>
      <c r="G91" s="8">
        <f t="shared" si="11"/>
        <v>1</v>
      </c>
      <c r="H91" s="9" t="s">
        <v>24</v>
      </c>
      <c r="I91" s="9">
        <f t="shared" si="9"/>
        <v>1</v>
      </c>
      <c r="J91" s="9">
        <f t="shared" si="10"/>
        <v>1</v>
      </c>
    </row>
    <row r="92" ht="54">
      <c r="A92" s="16" t="s">
        <v>25</v>
      </c>
      <c r="B92" s="18" t="s">
        <v>48</v>
      </c>
      <c r="C92" s="7" t="s">
        <v>78</v>
      </c>
      <c r="D92" s="7" t="s">
        <v>79</v>
      </c>
      <c r="E92" s="7" t="s">
        <v>80</v>
      </c>
      <c r="F92" s="5" t="s">
        <v>22</v>
      </c>
      <c r="G92" s="8">
        <f t="shared" si="11"/>
        <v>1</v>
      </c>
      <c r="H92" s="9" t="s">
        <v>24</v>
      </c>
      <c r="I92" s="9">
        <f t="shared" si="9"/>
        <v>1</v>
      </c>
      <c r="J92" s="9">
        <f t="shared" si="10"/>
        <v>1</v>
      </c>
    </row>
    <row r="93" ht="54">
      <c r="A93" s="16" t="s">
        <v>25</v>
      </c>
      <c r="B93" s="15" t="s">
        <v>48</v>
      </c>
      <c r="C93" s="7" t="s">
        <v>78</v>
      </c>
      <c r="D93" s="7" t="s">
        <v>79</v>
      </c>
      <c r="E93" s="7" t="s">
        <v>81</v>
      </c>
      <c r="F93" s="5" t="s">
        <v>53</v>
      </c>
      <c r="G93" s="8">
        <f t="shared" si="11"/>
        <v>0</v>
      </c>
      <c r="H93" s="9" t="s">
        <v>74</v>
      </c>
      <c r="I93" s="9">
        <f t="shared" si="9"/>
        <v>0</v>
      </c>
      <c r="J93" s="9">
        <f t="shared" si="10"/>
        <v>0</v>
      </c>
    </row>
    <row r="94" ht="54">
      <c r="A94" s="16" t="s">
        <v>25</v>
      </c>
      <c r="B94" s="18" t="s">
        <v>48</v>
      </c>
      <c r="C94" s="7" t="s">
        <v>78</v>
      </c>
      <c r="D94" s="7" t="s">
        <v>79</v>
      </c>
      <c r="E94" s="7" t="s">
        <v>82</v>
      </c>
      <c r="F94" s="5" t="s">
        <v>22</v>
      </c>
      <c r="G94" s="8">
        <f t="shared" si="11"/>
        <v>1</v>
      </c>
      <c r="H94" s="9" t="s">
        <v>24</v>
      </c>
      <c r="I94" s="9">
        <f t="shared" si="9"/>
        <v>1</v>
      </c>
      <c r="J94" s="9">
        <f t="shared" si="10"/>
        <v>1</v>
      </c>
    </row>
    <row r="95" ht="72">
      <c r="A95" s="16" t="s">
        <v>25</v>
      </c>
      <c r="B95" s="15" t="s">
        <v>83</v>
      </c>
      <c r="C95" s="7" t="s">
        <v>84</v>
      </c>
      <c r="D95" s="7" t="s">
        <v>85</v>
      </c>
      <c r="E95" s="7" t="s">
        <v>86</v>
      </c>
      <c r="F95" s="5" t="s">
        <v>53</v>
      </c>
      <c r="G95" s="8">
        <f t="shared" si="11"/>
        <v>0</v>
      </c>
      <c r="H95" s="9" t="s">
        <v>74</v>
      </c>
      <c r="I95" s="9">
        <f t="shared" si="9"/>
        <v>0</v>
      </c>
      <c r="J95" s="9">
        <f t="shared" si="10"/>
        <v>0</v>
      </c>
    </row>
    <row r="96" ht="72">
      <c r="A96" s="16" t="s">
        <v>25</v>
      </c>
      <c r="B96" s="18" t="s">
        <v>83</v>
      </c>
      <c r="C96" s="7" t="s">
        <v>84</v>
      </c>
      <c r="D96" s="7" t="s">
        <v>85</v>
      </c>
      <c r="E96" s="7" t="s">
        <v>87</v>
      </c>
      <c r="F96" s="5" t="s">
        <v>24</v>
      </c>
      <c r="G96" s="8">
        <f t="shared" si="11"/>
        <v>1</v>
      </c>
      <c r="H96" s="9" t="s">
        <v>24</v>
      </c>
      <c r="I96" s="9">
        <f t="shared" si="9"/>
        <v>1</v>
      </c>
      <c r="J96" s="9">
        <f t="shared" si="10"/>
        <v>1</v>
      </c>
    </row>
    <row r="97" ht="72">
      <c r="A97" s="16" t="s">
        <v>25</v>
      </c>
      <c r="B97" s="15" t="s">
        <v>83</v>
      </c>
      <c r="C97" s="7" t="s">
        <v>84</v>
      </c>
      <c r="D97" s="7" t="s">
        <v>85</v>
      </c>
      <c r="E97" s="7" t="s">
        <v>88</v>
      </c>
      <c r="F97" s="5" t="s">
        <v>53</v>
      </c>
      <c r="G97" s="8">
        <f t="shared" si="11"/>
        <v>0</v>
      </c>
      <c r="H97" s="9" t="s">
        <v>74</v>
      </c>
      <c r="I97" s="9">
        <f t="shared" si="9"/>
        <v>0</v>
      </c>
      <c r="J97" s="9">
        <f t="shared" si="10"/>
        <v>0</v>
      </c>
    </row>
    <row r="98" ht="54">
      <c r="A98" s="16" t="s">
        <v>25</v>
      </c>
      <c r="B98" s="18" t="s">
        <v>83</v>
      </c>
      <c r="C98" s="7" t="s">
        <v>84</v>
      </c>
      <c r="D98" s="7" t="s">
        <v>85</v>
      </c>
      <c r="E98" s="7" t="s">
        <v>89</v>
      </c>
      <c r="F98" s="5" t="s">
        <v>24</v>
      </c>
      <c r="G98" s="8">
        <f t="shared" si="11"/>
        <v>1</v>
      </c>
      <c r="H98" s="9" t="s">
        <v>24</v>
      </c>
      <c r="I98" s="9">
        <f t="shared" si="9"/>
        <v>1</v>
      </c>
      <c r="J98" s="9">
        <f t="shared" si="10"/>
        <v>1</v>
      </c>
    </row>
    <row r="99" ht="54">
      <c r="A99" s="16" t="s">
        <v>25</v>
      </c>
      <c r="B99" s="15" t="s">
        <v>83</v>
      </c>
      <c r="C99" s="7" t="s">
        <v>84</v>
      </c>
      <c r="D99" s="7" t="s">
        <v>85</v>
      </c>
      <c r="E99" s="7" t="s">
        <v>90</v>
      </c>
      <c r="F99" s="5" t="s">
        <v>22</v>
      </c>
      <c r="G99" s="8">
        <f t="shared" si="11"/>
        <v>1</v>
      </c>
      <c r="H99" s="9" t="s">
        <v>24</v>
      </c>
      <c r="I99" s="9">
        <f t="shared" si="9"/>
        <v>1</v>
      </c>
      <c r="J99" s="9">
        <f t="shared" si="10"/>
        <v>1</v>
      </c>
    </row>
    <row r="100" ht="90">
      <c r="A100" s="16" t="s">
        <v>25</v>
      </c>
      <c r="B100" s="18" t="s">
        <v>83</v>
      </c>
      <c r="C100" s="7" t="s">
        <v>91</v>
      </c>
      <c r="D100" s="7" t="s">
        <v>92</v>
      </c>
      <c r="E100" s="7" t="s">
        <v>93</v>
      </c>
      <c r="F100" s="5" t="s">
        <v>22</v>
      </c>
      <c r="G100" s="8">
        <f t="shared" si="11"/>
        <v>1</v>
      </c>
      <c r="H100" s="9" t="s">
        <v>24</v>
      </c>
      <c r="I100" s="9">
        <f t="shared" si="9"/>
        <v>1</v>
      </c>
      <c r="J100" s="9">
        <f t="shared" si="10"/>
        <v>1</v>
      </c>
    </row>
    <row r="101" ht="90">
      <c r="A101" s="16" t="s">
        <v>25</v>
      </c>
      <c r="B101" s="15" t="s">
        <v>83</v>
      </c>
      <c r="C101" s="7" t="s">
        <v>91</v>
      </c>
      <c r="D101" s="7" t="s">
        <v>92</v>
      </c>
      <c r="E101" s="7" t="s">
        <v>94</v>
      </c>
      <c r="F101" s="5" t="s">
        <v>22</v>
      </c>
      <c r="G101" s="8">
        <f t="shared" si="11"/>
        <v>1</v>
      </c>
      <c r="H101" s="9" t="s">
        <v>31</v>
      </c>
      <c r="I101" s="9">
        <f t="shared" si="9"/>
        <v>0.5</v>
      </c>
      <c r="J101" s="9">
        <f t="shared" si="10"/>
        <v>0.75</v>
      </c>
    </row>
    <row r="102" ht="90">
      <c r="A102" s="16" t="s">
        <v>25</v>
      </c>
      <c r="B102" s="18" t="s">
        <v>83</v>
      </c>
      <c r="C102" s="7" t="s">
        <v>91</v>
      </c>
      <c r="D102" s="7" t="s">
        <v>92</v>
      </c>
      <c r="E102" s="7" t="s">
        <v>96</v>
      </c>
      <c r="F102" s="5" t="s">
        <v>22</v>
      </c>
      <c r="G102" s="8">
        <f t="shared" si="11"/>
        <v>1</v>
      </c>
      <c r="H102" s="9" t="s">
        <v>74</v>
      </c>
      <c r="I102" s="9">
        <f t="shared" si="9"/>
        <v>0</v>
      </c>
      <c r="J102" s="9">
        <f t="shared" si="10"/>
        <v>0.5</v>
      </c>
    </row>
    <row r="103" ht="90">
      <c r="A103" s="16" t="s">
        <v>25</v>
      </c>
      <c r="B103" s="15" t="s">
        <v>83</v>
      </c>
      <c r="C103" s="7" t="s">
        <v>91</v>
      </c>
      <c r="D103" s="7" t="s">
        <v>92</v>
      </c>
      <c r="E103" s="7" t="s">
        <v>97</v>
      </c>
      <c r="F103" s="5" t="s">
        <v>22</v>
      </c>
      <c r="G103" s="8">
        <f t="shared" si="11"/>
        <v>1</v>
      </c>
      <c r="H103" s="9" t="s">
        <v>31</v>
      </c>
      <c r="I103" s="9">
        <f t="shared" si="9"/>
        <v>0.5</v>
      </c>
      <c r="J103" s="9">
        <f t="shared" si="10"/>
        <v>0.75</v>
      </c>
    </row>
    <row r="104" ht="54">
      <c r="A104" s="16" t="s">
        <v>25</v>
      </c>
      <c r="B104" s="18" t="s">
        <v>83</v>
      </c>
      <c r="C104" s="7" t="s">
        <v>98</v>
      </c>
      <c r="D104" s="7" t="s">
        <v>99</v>
      </c>
      <c r="E104" s="7" t="s">
        <v>100</v>
      </c>
      <c r="F104" s="5" t="s">
        <v>22</v>
      </c>
      <c r="G104" s="8">
        <f t="shared" si="11"/>
        <v>1</v>
      </c>
      <c r="H104" s="9" t="s">
        <v>31</v>
      </c>
      <c r="I104" s="9">
        <f t="shared" si="9"/>
        <v>0.5</v>
      </c>
      <c r="J104" s="9">
        <f t="shared" si="10"/>
        <v>0.75</v>
      </c>
    </row>
    <row r="105" ht="54">
      <c r="A105" s="16" t="s">
        <v>25</v>
      </c>
      <c r="B105" s="15" t="s">
        <v>83</v>
      </c>
      <c r="C105" s="7" t="s">
        <v>98</v>
      </c>
      <c r="D105" s="7" t="s">
        <v>99</v>
      </c>
      <c r="E105" s="7" t="s">
        <v>101</v>
      </c>
      <c r="F105" s="5" t="s">
        <v>53</v>
      </c>
      <c r="G105" s="8">
        <f t="shared" si="11"/>
        <v>0</v>
      </c>
      <c r="H105" s="9" t="s">
        <v>74</v>
      </c>
      <c r="I105" s="9">
        <f t="shared" si="9"/>
        <v>0</v>
      </c>
      <c r="J105" s="9">
        <f t="shared" si="10"/>
        <v>0</v>
      </c>
    </row>
    <row r="106" ht="72">
      <c r="A106" s="16" t="s">
        <v>25</v>
      </c>
      <c r="B106" s="18" t="s">
        <v>83</v>
      </c>
      <c r="C106" s="7" t="s">
        <v>98</v>
      </c>
      <c r="D106" s="7" t="s">
        <v>99</v>
      </c>
      <c r="E106" s="7" t="s">
        <v>102</v>
      </c>
      <c r="F106" s="5" t="s">
        <v>22</v>
      </c>
      <c r="G106" s="8">
        <f t="shared" si="11"/>
        <v>1</v>
      </c>
      <c r="H106" s="9" t="s">
        <v>24</v>
      </c>
      <c r="I106" s="9">
        <f t="shared" si="9"/>
        <v>1</v>
      </c>
      <c r="J106" s="9">
        <f t="shared" si="10"/>
        <v>1</v>
      </c>
    </row>
    <row r="107" ht="72">
      <c r="A107" s="16" t="s">
        <v>25</v>
      </c>
      <c r="B107" s="15" t="s">
        <v>83</v>
      </c>
      <c r="C107" s="7" t="s">
        <v>103</v>
      </c>
      <c r="D107" s="7" t="s">
        <v>104</v>
      </c>
      <c r="E107" s="7" t="s">
        <v>105</v>
      </c>
      <c r="F107" s="5" t="s">
        <v>70</v>
      </c>
      <c r="G107" s="8">
        <f t="shared" si="11"/>
        <v>0.5</v>
      </c>
      <c r="H107" s="9" t="s">
        <v>31</v>
      </c>
      <c r="I107" s="9">
        <f t="shared" si="9"/>
        <v>0.5</v>
      </c>
      <c r="J107" s="9">
        <f t="shared" si="10"/>
        <v>0.5</v>
      </c>
    </row>
    <row r="108" ht="54">
      <c r="A108" s="16" t="s">
        <v>25</v>
      </c>
      <c r="B108" s="18" t="s">
        <v>83</v>
      </c>
      <c r="C108" s="7" t="s">
        <v>103</v>
      </c>
      <c r="D108" s="7" t="s">
        <v>104</v>
      </c>
      <c r="E108" s="7" t="s">
        <v>106</v>
      </c>
      <c r="F108" s="5" t="s">
        <v>22</v>
      </c>
      <c r="G108" s="8">
        <f t="shared" si="11"/>
        <v>1</v>
      </c>
      <c r="H108" s="9" t="s">
        <v>31</v>
      </c>
      <c r="I108" s="9">
        <f t="shared" si="9"/>
        <v>0.5</v>
      </c>
      <c r="J108" s="9">
        <f t="shared" si="10"/>
        <v>0.75</v>
      </c>
    </row>
    <row r="109" ht="72">
      <c r="A109" s="16" t="s">
        <v>25</v>
      </c>
      <c r="B109" s="15" t="s">
        <v>83</v>
      </c>
      <c r="C109" s="7" t="s">
        <v>103</v>
      </c>
      <c r="D109" s="7" t="s">
        <v>104</v>
      </c>
      <c r="E109" s="7" t="s">
        <v>107</v>
      </c>
      <c r="F109" s="5" t="s">
        <v>22</v>
      </c>
      <c r="G109" s="8">
        <f t="shared" si="11"/>
        <v>1</v>
      </c>
      <c r="H109" s="9" t="s">
        <v>24</v>
      </c>
      <c r="I109" s="9">
        <f t="shared" si="9"/>
        <v>1</v>
      </c>
      <c r="J109" s="9">
        <f t="shared" si="10"/>
        <v>1</v>
      </c>
    </row>
    <row r="110" ht="72">
      <c r="A110" s="16" t="s">
        <v>25</v>
      </c>
      <c r="B110" s="17" t="s">
        <v>108</v>
      </c>
      <c r="C110" s="7" t="s">
        <v>109</v>
      </c>
      <c r="D110" s="7" t="s">
        <v>110</v>
      </c>
      <c r="E110" s="7" t="s">
        <v>111</v>
      </c>
      <c r="F110" s="5" t="s">
        <v>22</v>
      </c>
      <c r="G110" s="8">
        <f t="shared" si="11"/>
        <v>1</v>
      </c>
      <c r="H110" s="9" t="s">
        <v>74</v>
      </c>
      <c r="I110" s="9">
        <f t="shared" si="9"/>
        <v>0</v>
      </c>
      <c r="J110" s="9">
        <f t="shared" si="10"/>
        <v>0.5</v>
      </c>
    </row>
    <row r="111" ht="54">
      <c r="A111" s="16" t="s">
        <v>25</v>
      </c>
      <c r="B111" s="6" t="s">
        <v>108</v>
      </c>
      <c r="C111" s="7" t="s">
        <v>109</v>
      </c>
      <c r="D111" s="7" t="s">
        <v>110</v>
      </c>
      <c r="E111" s="7" t="s">
        <v>112</v>
      </c>
      <c r="F111" s="5" t="s">
        <v>53</v>
      </c>
      <c r="G111" s="8">
        <f t="shared" si="11"/>
        <v>0</v>
      </c>
      <c r="H111" s="9" t="s">
        <v>74</v>
      </c>
      <c r="I111" s="9">
        <f t="shared" si="9"/>
        <v>0</v>
      </c>
      <c r="J111" s="9">
        <f t="shared" si="10"/>
        <v>0</v>
      </c>
    </row>
    <row r="112" ht="72">
      <c r="A112" s="16" t="s">
        <v>25</v>
      </c>
      <c r="B112" s="17" t="s">
        <v>108</v>
      </c>
      <c r="C112" s="7" t="s">
        <v>109</v>
      </c>
      <c r="D112" s="7" t="s">
        <v>110</v>
      </c>
      <c r="E112" s="7" t="s">
        <v>113</v>
      </c>
      <c r="F112" s="5" t="s">
        <v>53</v>
      </c>
      <c r="G112" s="8">
        <f t="shared" si="11"/>
        <v>0</v>
      </c>
      <c r="H112" s="9" t="s">
        <v>74</v>
      </c>
      <c r="I112" s="9">
        <f t="shared" si="9"/>
        <v>0</v>
      </c>
      <c r="J112" s="9">
        <f t="shared" si="10"/>
        <v>0</v>
      </c>
    </row>
    <row r="113" ht="72">
      <c r="A113" s="16" t="s">
        <v>25</v>
      </c>
      <c r="B113" s="6" t="s">
        <v>108</v>
      </c>
      <c r="C113" s="7" t="s">
        <v>109</v>
      </c>
      <c r="D113" s="7" t="s">
        <v>110</v>
      </c>
      <c r="E113" s="7" t="s">
        <v>114</v>
      </c>
      <c r="F113" s="5" t="s">
        <v>53</v>
      </c>
      <c r="G113" s="8">
        <f t="shared" si="11"/>
        <v>0</v>
      </c>
      <c r="H113" s="9" t="s">
        <v>74</v>
      </c>
      <c r="I113" s="9">
        <f t="shared" si="9"/>
        <v>0</v>
      </c>
      <c r="J113" s="9">
        <f t="shared" si="10"/>
        <v>0</v>
      </c>
    </row>
    <row r="114" ht="72">
      <c r="A114" s="16" t="s">
        <v>25</v>
      </c>
      <c r="B114" s="17" t="s">
        <v>108</v>
      </c>
      <c r="C114" s="7" t="s">
        <v>115</v>
      </c>
      <c r="D114" s="7" t="s">
        <v>116</v>
      </c>
      <c r="E114" s="7" t="s">
        <v>117</v>
      </c>
      <c r="F114" s="5" t="s">
        <v>22</v>
      </c>
      <c r="G114" s="8">
        <f t="shared" si="11"/>
        <v>1</v>
      </c>
      <c r="H114" s="9" t="s">
        <v>74</v>
      </c>
      <c r="I114" s="9">
        <f t="shared" si="9"/>
        <v>0</v>
      </c>
      <c r="J114" s="9">
        <f t="shared" si="10"/>
        <v>0.5</v>
      </c>
    </row>
    <row r="115" ht="72">
      <c r="A115" s="16" t="s">
        <v>25</v>
      </c>
      <c r="B115" s="6" t="s">
        <v>108</v>
      </c>
      <c r="C115" s="7" t="s">
        <v>115</v>
      </c>
      <c r="D115" s="7" t="s">
        <v>116</v>
      </c>
      <c r="E115" s="7" t="s">
        <v>118</v>
      </c>
      <c r="F115" s="5" t="s">
        <v>53</v>
      </c>
      <c r="G115" s="8">
        <f t="shared" si="11"/>
        <v>0</v>
      </c>
      <c r="H115" s="9" t="s">
        <v>74</v>
      </c>
      <c r="I115" s="9">
        <f t="shared" si="9"/>
        <v>0</v>
      </c>
      <c r="J115" s="9">
        <f t="shared" si="10"/>
        <v>0</v>
      </c>
    </row>
    <row r="116" ht="72">
      <c r="A116" s="16" t="s">
        <v>25</v>
      </c>
      <c r="B116" s="17" t="s">
        <v>108</v>
      </c>
      <c r="C116" s="7" t="s">
        <v>115</v>
      </c>
      <c r="D116" s="7" t="s">
        <v>116</v>
      </c>
      <c r="E116" s="7" t="s">
        <v>119</v>
      </c>
      <c r="F116" s="5" t="s">
        <v>53</v>
      </c>
      <c r="G116" s="8">
        <f t="shared" si="11"/>
        <v>0</v>
      </c>
      <c r="H116" s="9" t="s">
        <v>74</v>
      </c>
      <c r="I116" s="9">
        <f t="shared" si="9"/>
        <v>0</v>
      </c>
      <c r="J116" s="9">
        <f t="shared" si="10"/>
        <v>0</v>
      </c>
    </row>
    <row r="117" ht="54">
      <c r="A117" s="16" t="s">
        <v>25</v>
      </c>
      <c r="B117" s="6" t="s">
        <v>108</v>
      </c>
      <c r="C117" s="7" t="s">
        <v>115</v>
      </c>
      <c r="D117" s="7" t="s">
        <v>116</v>
      </c>
      <c r="E117" s="7" t="s">
        <v>120</v>
      </c>
      <c r="F117" s="5" t="s">
        <v>53</v>
      </c>
      <c r="G117" s="8">
        <f t="shared" si="11"/>
        <v>0</v>
      </c>
      <c r="H117" s="9" t="s">
        <v>74</v>
      </c>
      <c r="I117" s="9">
        <f t="shared" si="9"/>
        <v>0</v>
      </c>
      <c r="J117" s="9">
        <f t="shared" si="10"/>
        <v>0</v>
      </c>
    </row>
    <row r="118" ht="54">
      <c r="A118" s="16" t="s">
        <v>25</v>
      </c>
      <c r="B118" s="17" t="s">
        <v>108</v>
      </c>
      <c r="C118" s="7" t="s">
        <v>121</v>
      </c>
      <c r="D118" s="7" t="s">
        <v>122</v>
      </c>
      <c r="E118" s="7" t="s">
        <v>123</v>
      </c>
      <c r="F118" s="5" t="s">
        <v>53</v>
      </c>
      <c r="G118" s="8">
        <f t="shared" si="11"/>
        <v>0</v>
      </c>
      <c r="H118" s="9" t="s">
        <v>74</v>
      </c>
      <c r="I118" s="9">
        <f t="shared" si="9"/>
        <v>0</v>
      </c>
      <c r="J118" s="9">
        <f t="shared" si="10"/>
        <v>0</v>
      </c>
    </row>
    <row r="119" ht="72">
      <c r="A119" s="16" t="s">
        <v>25</v>
      </c>
      <c r="B119" s="6" t="s">
        <v>108</v>
      </c>
      <c r="C119" s="7" t="s">
        <v>121</v>
      </c>
      <c r="D119" s="7" t="s">
        <v>122</v>
      </c>
      <c r="E119" s="7" t="s">
        <v>124</v>
      </c>
      <c r="F119" s="5" t="s">
        <v>53</v>
      </c>
      <c r="G119" s="8">
        <f t="shared" si="11"/>
        <v>0</v>
      </c>
      <c r="H119" s="9" t="s">
        <v>74</v>
      </c>
      <c r="I119" s="9">
        <f t="shared" si="9"/>
        <v>0</v>
      </c>
      <c r="J119" s="9">
        <f t="shared" si="10"/>
        <v>0</v>
      </c>
    </row>
    <row r="120" ht="54">
      <c r="A120" s="16" t="s">
        <v>25</v>
      </c>
      <c r="B120" s="17" t="s">
        <v>108</v>
      </c>
      <c r="C120" s="7" t="s">
        <v>121</v>
      </c>
      <c r="D120" s="7" t="s">
        <v>122</v>
      </c>
      <c r="E120" s="7" t="s">
        <v>125</v>
      </c>
      <c r="F120" s="5" t="s">
        <v>53</v>
      </c>
      <c r="G120" s="8">
        <f t="shared" si="11"/>
        <v>0</v>
      </c>
      <c r="H120" s="9" t="s">
        <v>74</v>
      </c>
      <c r="I120" s="9">
        <f t="shared" si="9"/>
        <v>0</v>
      </c>
      <c r="J120" s="9">
        <f t="shared" si="10"/>
        <v>0</v>
      </c>
    </row>
    <row r="121" ht="54">
      <c r="A121" s="16" t="s">
        <v>25</v>
      </c>
      <c r="B121" s="6" t="s">
        <v>108</v>
      </c>
      <c r="C121" s="7" t="s">
        <v>121</v>
      </c>
      <c r="D121" s="7" t="s">
        <v>122</v>
      </c>
      <c r="E121" s="7" t="s">
        <v>126</v>
      </c>
      <c r="F121" s="5" t="s">
        <v>53</v>
      </c>
      <c r="G121" s="8">
        <f>IF(F121="Cumple",1,IF(F121="Cumple Parcialmente",0.5,IF(F121="No Cumple",0,"")))</f>
        <v>0</v>
      </c>
      <c r="H121" s="9" t="s">
        <v>74</v>
      </c>
      <c r="I121" s="9">
        <f t="shared" si="9"/>
        <v>0</v>
      </c>
      <c r="J121" s="9">
        <f t="shared" si="10"/>
        <v>0</v>
      </c>
    </row>
    <row r="122" ht="72">
      <c r="A122" s="16" t="s">
        <v>25</v>
      </c>
      <c r="B122" s="17" t="s">
        <v>108</v>
      </c>
      <c r="C122" s="7" t="s">
        <v>127</v>
      </c>
      <c r="D122" s="7" t="s">
        <v>128</v>
      </c>
      <c r="E122" s="7" t="s">
        <v>129</v>
      </c>
      <c r="F122" s="5" t="s">
        <v>53</v>
      </c>
      <c r="G122" s="8">
        <f t="shared" si="11"/>
        <v>0</v>
      </c>
      <c r="H122" s="9" t="s">
        <v>74</v>
      </c>
      <c r="I122" s="9">
        <f t="shared" si="9"/>
        <v>0</v>
      </c>
      <c r="J122" s="9">
        <f t="shared" si="10"/>
        <v>0</v>
      </c>
    </row>
    <row r="123" ht="90">
      <c r="A123" s="16" t="s">
        <v>25</v>
      </c>
      <c r="B123" s="6" t="s">
        <v>108</v>
      </c>
      <c r="C123" s="7" t="s">
        <v>127</v>
      </c>
      <c r="D123" s="7" t="s">
        <v>128</v>
      </c>
      <c r="E123" s="7" t="s">
        <v>130</v>
      </c>
      <c r="F123" s="5" t="s">
        <v>53</v>
      </c>
      <c r="G123" s="8">
        <f t="shared" si="11"/>
        <v>0</v>
      </c>
      <c r="H123" s="9" t="s">
        <v>74</v>
      </c>
      <c r="I123" s="9">
        <f t="shared" si="9"/>
        <v>0</v>
      </c>
      <c r="J123" s="9">
        <f t="shared" si="10"/>
        <v>0</v>
      </c>
    </row>
    <row r="124" ht="54">
      <c r="A124" s="16" t="s">
        <v>25</v>
      </c>
      <c r="B124" s="17" t="s">
        <v>108</v>
      </c>
      <c r="C124" s="7" t="s">
        <v>127</v>
      </c>
      <c r="D124" s="7" t="s">
        <v>128</v>
      </c>
      <c r="E124" s="7" t="s">
        <v>131</v>
      </c>
      <c r="F124" s="5" t="s">
        <v>53</v>
      </c>
      <c r="G124" s="8">
        <f t="shared" si="11"/>
        <v>0</v>
      </c>
      <c r="H124" s="9" t="s">
        <v>74</v>
      </c>
      <c r="I124" s="9">
        <f t="shared" si="9"/>
        <v>0</v>
      </c>
      <c r="J124" s="9">
        <f t="shared" si="10"/>
        <v>0</v>
      </c>
    </row>
    <row r="125" ht="72">
      <c r="A125" s="16" t="s">
        <v>25</v>
      </c>
      <c r="B125" s="6" t="s">
        <v>108</v>
      </c>
      <c r="C125" s="7" t="s">
        <v>127</v>
      </c>
      <c r="D125" s="7" t="s">
        <v>128</v>
      </c>
      <c r="E125" s="7" t="s">
        <v>132</v>
      </c>
      <c r="F125" s="5" t="s">
        <v>53</v>
      </c>
      <c r="G125" s="8">
        <f t="shared" si="11"/>
        <v>0</v>
      </c>
      <c r="H125" s="9" t="s">
        <v>74</v>
      </c>
      <c r="I125" s="9">
        <f t="shared" si="9"/>
        <v>0</v>
      </c>
      <c r="J125" s="9">
        <f t="shared" si="10"/>
        <v>0</v>
      </c>
    </row>
    <row r="126" ht="90">
      <c r="A126" s="16" t="s">
        <v>25</v>
      </c>
      <c r="B126" s="17" t="s">
        <v>108</v>
      </c>
      <c r="C126" s="7" t="s">
        <v>133</v>
      </c>
      <c r="D126" s="7" t="s">
        <v>134</v>
      </c>
      <c r="E126" s="7" t="s">
        <v>135</v>
      </c>
      <c r="F126" s="5" t="s">
        <v>53</v>
      </c>
      <c r="G126" s="8">
        <f t="shared" si="11"/>
        <v>0</v>
      </c>
      <c r="H126" s="9" t="s">
        <v>74</v>
      </c>
      <c r="I126" s="9">
        <f t="shared" si="9"/>
        <v>0</v>
      </c>
      <c r="J126" s="9">
        <f t="shared" si="10"/>
        <v>0</v>
      </c>
    </row>
    <row r="127" ht="90">
      <c r="A127" s="16" t="s">
        <v>25</v>
      </c>
      <c r="B127" s="6" t="s">
        <v>108</v>
      </c>
      <c r="C127" s="7" t="s">
        <v>133</v>
      </c>
      <c r="D127" s="7" t="s">
        <v>134</v>
      </c>
      <c r="E127" s="7" t="s">
        <v>136</v>
      </c>
      <c r="F127" s="5" t="s">
        <v>53</v>
      </c>
      <c r="G127" s="8">
        <f t="shared" si="11"/>
        <v>0</v>
      </c>
      <c r="H127" s="9" t="s">
        <v>74</v>
      </c>
      <c r="I127" s="9">
        <f t="shared" si="9"/>
        <v>0</v>
      </c>
      <c r="J127" s="9">
        <f t="shared" si="10"/>
        <v>0</v>
      </c>
    </row>
    <row r="128" ht="72">
      <c r="A128" s="16" t="s">
        <v>25</v>
      </c>
      <c r="B128" s="17" t="s">
        <v>108</v>
      </c>
      <c r="C128" s="7" t="s">
        <v>133</v>
      </c>
      <c r="D128" s="7" t="s">
        <v>134</v>
      </c>
      <c r="E128" s="7" t="s">
        <v>137</v>
      </c>
      <c r="F128" s="5" t="s">
        <v>53</v>
      </c>
      <c r="G128" s="8">
        <f t="shared" si="11"/>
        <v>0</v>
      </c>
      <c r="H128" s="9" t="s">
        <v>74</v>
      </c>
      <c r="I128" s="9">
        <f t="shared" si="9"/>
        <v>0</v>
      </c>
      <c r="J128" s="9">
        <f t="shared" si="10"/>
        <v>0</v>
      </c>
    </row>
    <row r="129" ht="72">
      <c r="A129" s="16" t="s">
        <v>25</v>
      </c>
      <c r="B129" s="6" t="s">
        <v>108</v>
      </c>
      <c r="C129" s="7" t="s">
        <v>133</v>
      </c>
      <c r="D129" s="7" t="s">
        <v>134</v>
      </c>
      <c r="E129" s="7" t="s">
        <v>138</v>
      </c>
      <c r="F129" s="5" t="s">
        <v>53</v>
      </c>
      <c r="G129" s="8">
        <f t="shared" si="11"/>
        <v>0</v>
      </c>
      <c r="H129" s="9" t="s">
        <v>74</v>
      </c>
      <c r="I129" s="9">
        <f t="shared" si="9"/>
        <v>0</v>
      </c>
      <c r="J129" s="9">
        <f t="shared" si="10"/>
        <v>0</v>
      </c>
    </row>
    <row r="130" ht="36">
      <c r="A130" s="16" t="s">
        <v>29</v>
      </c>
      <c r="B130" s="17" t="s">
        <v>18</v>
      </c>
      <c r="C130" s="7" t="s">
        <v>139</v>
      </c>
      <c r="D130" s="6" t="s">
        <v>20</v>
      </c>
      <c r="E130" s="7" t="s">
        <v>21</v>
      </c>
      <c r="F130" s="5" t="s">
        <v>22</v>
      </c>
      <c r="G130" s="8">
        <f t="shared" si="11"/>
        <v>1</v>
      </c>
      <c r="H130" s="9" t="s">
        <v>24</v>
      </c>
      <c r="I130" s="9">
        <f t="shared" ref="I130:I193" si="12">IF(H130="Cumple",1,IF(H130="Cumple Parcialmente",0.5,IF(H130="No Cumple",0,"")))</f>
        <v>1</v>
      </c>
      <c r="J130" s="9">
        <f t="shared" si="10"/>
        <v>1</v>
      </c>
    </row>
    <row r="131" ht="36">
      <c r="A131" s="16" t="s">
        <v>29</v>
      </c>
      <c r="B131" s="6" t="s">
        <v>18</v>
      </c>
      <c r="C131" s="7" t="s">
        <v>139</v>
      </c>
      <c r="D131" s="6" t="s">
        <v>20</v>
      </c>
      <c r="E131" s="7" t="s">
        <v>23</v>
      </c>
      <c r="F131" s="5" t="s">
        <v>22</v>
      </c>
      <c r="G131" s="8">
        <f t="shared" si="11"/>
        <v>1</v>
      </c>
      <c r="H131" s="9" t="s">
        <v>24</v>
      </c>
      <c r="I131" s="9">
        <f t="shared" si="12"/>
        <v>1</v>
      </c>
      <c r="J131" s="9">
        <f t="shared" ref="J131:J194" si="13">AVERAGE(G131,I131)</f>
        <v>1</v>
      </c>
    </row>
    <row r="132" ht="54">
      <c r="A132" s="16" t="s">
        <v>29</v>
      </c>
      <c r="B132" s="17" t="s">
        <v>18</v>
      </c>
      <c r="C132" s="7" t="s">
        <v>26</v>
      </c>
      <c r="D132" s="7" t="s">
        <v>27</v>
      </c>
      <c r="E132" s="7" t="s">
        <v>28</v>
      </c>
      <c r="F132" s="5" t="s">
        <v>22</v>
      </c>
      <c r="G132" s="8">
        <f t="shared" ref="G132:G195" si="14">IF(F132="Cumple",1,IF(F132="Cumple Parcialmente",0.5,IF(F132="No Cumple",0,"")))</f>
        <v>1</v>
      </c>
      <c r="H132" s="9" t="s">
        <v>24</v>
      </c>
      <c r="I132" s="9">
        <f t="shared" si="12"/>
        <v>1</v>
      </c>
      <c r="J132" s="9">
        <f t="shared" si="13"/>
        <v>1</v>
      </c>
    </row>
    <row r="133" ht="54">
      <c r="A133" s="16" t="s">
        <v>29</v>
      </c>
      <c r="B133" s="6" t="s">
        <v>18</v>
      </c>
      <c r="C133" s="7" t="s">
        <v>26</v>
      </c>
      <c r="D133" s="7" t="s">
        <v>27</v>
      </c>
      <c r="E133" s="7" t="s">
        <v>30</v>
      </c>
      <c r="F133" s="5" t="s">
        <v>22</v>
      </c>
      <c r="G133" s="8">
        <f t="shared" si="14"/>
        <v>1</v>
      </c>
      <c r="H133" s="9" t="s">
        <v>24</v>
      </c>
      <c r="I133" s="9">
        <f t="shared" si="12"/>
        <v>1</v>
      </c>
      <c r="J133" s="9">
        <f t="shared" si="13"/>
        <v>1</v>
      </c>
    </row>
    <row r="134" ht="54">
      <c r="A134" s="16" t="s">
        <v>29</v>
      </c>
      <c r="B134" s="17" t="s">
        <v>18</v>
      </c>
      <c r="C134" s="7" t="s">
        <v>33</v>
      </c>
      <c r="D134" s="7" t="s">
        <v>34</v>
      </c>
      <c r="E134" s="7" t="s">
        <v>35</v>
      </c>
      <c r="F134" s="5" t="s">
        <v>22</v>
      </c>
      <c r="G134" s="8">
        <f t="shared" si="14"/>
        <v>1</v>
      </c>
      <c r="H134" s="9" t="s">
        <v>24</v>
      </c>
      <c r="I134" s="9">
        <f t="shared" si="12"/>
        <v>1</v>
      </c>
      <c r="J134" s="9">
        <f t="shared" si="13"/>
        <v>1</v>
      </c>
    </row>
    <row r="135" ht="36">
      <c r="A135" s="16" t="s">
        <v>29</v>
      </c>
      <c r="B135" s="6" t="s">
        <v>18</v>
      </c>
      <c r="C135" s="7" t="s">
        <v>33</v>
      </c>
      <c r="D135" s="7" t="s">
        <v>34</v>
      </c>
      <c r="E135" s="7" t="s">
        <v>37</v>
      </c>
      <c r="F135" s="5" t="s">
        <v>22</v>
      </c>
      <c r="G135" s="8">
        <f t="shared" si="14"/>
        <v>1</v>
      </c>
      <c r="H135" s="9" t="s">
        <v>24</v>
      </c>
      <c r="I135" s="9">
        <f t="shared" si="12"/>
        <v>1</v>
      </c>
      <c r="J135" s="9">
        <f t="shared" si="13"/>
        <v>1</v>
      </c>
    </row>
    <row r="136" ht="54">
      <c r="A136" s="16" t="s">
        <v>29</v>
      </c>
      <c r="B136" s="17" t="s">
        <v>18</v>
      </c>
      <c r="C136" s="7" t="s">
        <v>39</v>
      </c>
      <c r="D136" s="7" t="s">
        <v>40</v>
      </c>
      <c r="E136" s="7" t="s">
        <v>41</v>
      </c>
      <c r="F136" s="5" t="s">
        <v>22</v>
      </c>
      <c r="G136" s="8">
        <f t="shared" si="14"/>
        <v>1</v>
      </c>
      <c r="H136" s="9" t="s">
        <v>24</v>
      </c>
      <c r="I136" s="9">
        <f t="shared" si="12"/>
        <v>1</v>
      </c>
      <c r="J136" s="9">
        <f t="shared" si="13"/>
        <v>1</v>
      </c>
    </row>
    <row r="137" ht="54">
      <c r="A137" s="16" t="s">
        <v>29</v>
      </c>
      <c r="B137" s="6" t="s">
        <v>18</v>
      </c>
      <c r="C137" s="7" t="s">
        <v>39</v>
      </c>
      <c r="D137" s="7" t="s">
        <v>40</v>
      </c>
      <c r="E137" s="7" t="s">
        <v>43</v>
      </c>
      <c r="F137" s="5" t="s">
        <v>22</v>
      </c>
      <c r="G137" s="8">
        <f t="shared" si="14"/>
        <v>1</v>
      </c>
      <c r="H137" s="9" t="s">
        <v>24</v>
      </c>
      <c r="I137" s="9">
        <f t="shared" si="12"/>
        <v>1</v>
      </c>
      <c r="J137" s="9">
        <f t="shared" si="13"/>
        <v>1</v>
      </c>
    </row>
    <row r="138" ht="72">
      <c r="A138" s="16" t="s">
        <v>29</v>
      </c>
      <c r="B138" s="17" t="s">
        <v>18</v>
      </c>
      <c r="C138" s="7" t="s">
        <v>44</v>
      </c>
      <c r="D138" s="7" t="s">
        <v>45</v>
      </c>
      <c r="E138" s="7" t="s">
        <v>46</v>
      </c>
      <c r="F138" s="5" t="s">
        <v>22</v>
      </c>
      <c r="G138" s="8">
        <f t="shared" si="14"/>
        <v>1</v>
      </c>
      <c r="H138" s="9" t="s">
        <v>24</v>
      </c>
      <c r="I138" s="9">
        <f t="shared" si="12"/>
        <v>1</v>
      </c>
      <c r="J138" s="9">
        <f t="shared" si="13"/>
        <v>1</v>
      </c>
    </row>
    <row r="139" ht="72">
      <c r="A139" s="16" t="s">
        <v>29</v>
      </c>
      <c r="B139" s="6" t="s">
        <v>18</v>
      </c>
      <c r="C139" s="7" t="s">
        <v>44</v>
      </c>
      <c r="D139" s="7" t="s">
        <v>45</v>
      </c>
      <c r="E139" s="7" t="s">
        <v>47</v>
      </c>
      <c r="F139" s="5" t="s">
        <v>22</v>
      </c>
      <c r="G139" s="8">
        <f t="shared" si="14"/>
        <v>1</v>
      </c>
      <c r="H139" s="9" t="s">
        <v>24</v>
      </c>
      <c r="I139" s="9">
        <f t="shared" si="12"/>
        <v>1</v>
      </c>
      <c r="J139" s="9">
        <f t="shared" si="13"/>
        <v>1</v>
      </c>
    </row>
    <row r="140" ht="54">
      <c r="A140" s="16" t="s">
        <v>29</v>
      </c>
      <c r="B140" s="18" t="s">
        <v>48</v>
      </c>
      <c r="C140" s="7" t="s">
        <v>49</v>
      </c>
      <c r="D140" s="7" t="s">
        <v>50</v>
      </c>
      <c r="E140" s="7" t="s">
        <v>51</v>
      </c>
      <c r="F140" s="5" t="s">
        <v>70</v>
      </c>
      <c r="G140" s="8">
        <f t="shared" si="14"/>
        <v>0.5</v>
      </c>
      <c r="H140" s="9" t="s">
        <v>31</v>
      </c>
      <c r="I140" s="9">
        <f t="shared" si="12"/>
        <v>0.5</v>
      </c>
      <c r="J140" s="9">
        <f t="shared" si="13"/>
        <v>0.5</v>
      </c>
    </row>
    <row r="141" ht="54">
      <c r="A141" s="16" t="s">
        <v>29</v>
      </c>
      <c r="B141" s="15" t="s">
        <v>48</v>
      </c>
      <c r="C141" s="7" t="s">
        <v>49</v>
      </c>
      <c r="D141" s="7" t="s">
        <v>50</v>
      </c>
      <c r="E141" s="7" t="s">
        <v>52</v>
      </c>
      <c r="F141" s="5" t="s">
        <v>22</v>
      </c>
      <c r="G141" s="8">
        <f t="shared" si="14"/>
        <v>1</v>
      </c>
      <c r="H141" s="9" t="s">
        <v>24</v>
      </c>
      <c r="I141" s="9">
        <f t="shared" si="12"/>
        <v>1</v>
      </c>
      <c r="J141" s="9">
        <f t="shared" si="13"/>
        <v>1</v>
      </c>
    </row>
    <row r="142" ht="54">
      <c r="A142" s="16" t="s">
        <v>29</v>
      </c>
      <c r="B142" s="18" t="s">
        <v>48</v>
      </c>
      <c r="C142" s="7" t="s">
        <v>49</v>
      </c>
      <c r="D142" s="7" t="s">
        <v>50</v>
      </c>
      <c r="E142" s="7" t="s">
        <v>54</v>
      </c>
      <c r="F142" s="5" t="s">
        <v>22</v>
      </c>
      <c r="G142" s="8">
        <f t="shared" si="14"/>
        <v>1</v>
      </c>
      <c r="H142" s="9" t="s">
        <v>24</v>
      </c>
      <c r="I142" s="9">
        <f t="shared" si="12"/>
        <v>1</v>
      </c>
      <c r="J142" s="9">
        <f t="shared" si="13"/>
        <v>1</v>
      </c>
    </row>
    <row r="143" ht="54">
      <c r="A143" s="16" t="s">
        <v>29</v>
      </c>
      <c r="B143" s="15" t="s">
        <v>48</v>
      </c>
      <c r="C143" s="7" t="s">
        <v>49</v>
      </c>
      <c r="D143" s="7" t="s">
        <v>50</v>
      </c>
      <c r="E143" s="7" t="s">
        <v>55</v>
      </c>
      <c r="F143" s="5" t="s">
        <v>70</v>
      </c>
      <c r="G143" s="8">
        <f t="shared" si="14"/>
        <v>0.5</v>
      </c>
      <c r="H143" s="9" t="s">
        <v>31</v>
      </c>
      <c r="I143" s="9">
        <f t="shared" si="12"/>
        <v>0.5</v>
      </c>
      <c r="J143" s="9">
        <f t="shared" si="13"/>
        <v>0.5</v>
      </c>
    </row>
    <row r="144" ht="72">
      <c r="A144" s="16" t="s">
        <v>29</v>
      </c>
      <c r="B144" s="18" t="s">
        <v>48</v>
      </c>
      <c r="C144" s="7" t="s">
        <v>56</v>
      </c>
      <c r="D144" s="7" t="s">
        <v>57</v>
      </c>
      <c r="E144" s="7" t="s">
        <v>58</v>
      </c>
      <c r="F144" s="5" t="s">
        <v>22</v>
      </c>
      <c r="G144" s="8">
        <f t="shared" si="14"/>
        <v>1</v>
      </c>
      <c r="H144" s="9" t="s">
        <v>24</v>
      </c>
      <c r="I144" s="9">
        <f t="shared" si="12"/>
        <v>1</v>
      </c>
      <c r="J144" s="9">
        <f t="shared" si="13"/>
        <v>1</v>
      </c>
    </row>
    <row r="145" ht="72">
      <c r="A145" s="16" t="s">
        <v>29</v>
      </c>
      <c r="B145" s="15" t="s">
        <v>48</v>
      </c>
      <c r="C145" s="7" t="s">
        <v>56</v>
      </c>
      <c r="D145" s="7" t="s">
        <v>57</v>
      </c>
      <c r="E145" s="7" t="s">
        <v>59</v>
      </c>
      <c r="F145" s="5" t="s">
        <v>22</v>
      </c>
      <c r="G145" s="8">
        <f t="shared" si="14"/>
        <v>1</v>
      </c>
      <c r="H145" s="9" t="s">
        <v>24</v>
      </c>
      <c r="I145" s="9">
        <f t="shared" si="12"/>
        <v>1</v>
      </c>
      <c r="J145" s="9">
        <f t="shared" si="13"/>
        <v>1</v>
      </c>
    </row>
    <row r="146" ht="54">
      <c r="A146" s="16" t="s">
        <v>29</v>
      </c>
      <c r="B146" s="18" t="s">
        <v>48</v>
      </c>
      <c r="C146" s="7" t="s">
        <v>60</v>
      </c>
      <c r="D146" s="7" t="s">
        <v>61</v>
      </c>
      <c r="E146" s="7" t="s">
        <v>62</v>
      </c>
      <c r="F146" s="5" t="s">
        <v>22</v>
      </c>
      <c r="G146" s="8">
        <f t="shared" si="14"/>
        <v>1</v>
      </c>
      <c r="H146" s="9" t="s">
        <v>95</v>
      </c>
      <c r="I146" s="9">
        <f t="shared" si="12"/>
        <v>0.5</v>
      </c>
      <c r="J146" s="9">
        <f t="shared" si="13"/>
        <v>0.75</v>
      </c>
    </row>
    <row r="147" ht="90">
      <c r="A147" s="16" t="s">
        <v>29</v>
      </c>
      <c r="B147" s="15" t="s">
        <v>48</v>
      </c>
      <c r="C147" s="7" t="s">
        <v>60</v>
      </c>
      <c r="D147" s="7" t="s">
        <v>61</v>
      </c>
      <c r="E147" s="7" t="s">
        <v>63</v>
      </c>
      <c r="F147" s="5" t="s">
        <v>22</v>
      </c>
      <c r="G147" s="8">
        <f t="shared" si="14"/>
        <v>1</v>
      </c>
      <c r="H147" s="9" t="s">
        <v>24</v>
      </c>
      <c r="I147" s="9">
        <f t="shared" si="12"/>
        <v>1</v>
      </c>
      <c r="J147" s="9">
        <f t="shared" si="13"/>
        <v>1</v>
      </c>
    </row>
    <row r="148" ht="54">
      <c r="A148" s="16" t="s">
        <v>29</v>
      </c>
      <c r="B148" s="18" t="s">
        <v>48</v>
      </c>
      <c r="C148" s="7" t="s">
        <v>60</v>
      </c>
      <c r="D148" s="7" t="s">
        <v>61</v>
      </c>
      <c r="E148" s="7" t="s">
        <v>64</v>
      </c>
      <c r="F148" s="5" t="s">
        <v>22</v>
      </c>
      <c r="G148" s="8">
        <f t="shared" si="14"/>
        <v>1</v>
      </c>
      <c r="H148" s="9" t="s">
        <v>24</v>
      </c>
      <c r="I148" s="9">
        <f t="shared" si="12"/>
        <v>1</v>
      </c>
      <c r="J148" s="9">
        <f t="shared" si="13"/>
        <v>1</v>
      </c>
    </row>
    <row r="149" ht="54">
      <c r="A149" s="16" t="s">
        <v>29</v>
      </c>
      <c r="B149" s="15" t="s">
        <v>48</v>
      </c>
      <c r="C149" s="7" t="s">
        <v>65</v>
      </c>
      <c r="D149" s="7" t="s">
        <v>66</v>
      </c>
      <c r="E149" s="7" t="s">
        <v>67</v>
      </c>
      <c r="F149" s="5" t="s">
        <v>22</v>
      </c>
      <c r="G149" s="8">
        <f t="shared" si="14"/>
        <v>1</v>
      </c>
      <c r="H149" s="9" t="s">
        <v>24</v>
      </c>
      <c r="I149" s="9">
        <f t="shared" si="12"/>
        <v>1</v>
      </c>
      <c r="J149" s="9">
        <f t="shared" si="13"/>
        <v>1</v>
      </c>
    </row>
    <row r="150" ht="72">
      <c r="A150" s="16" t="s">
        <v>29</v>
      </c>
      <c r="B150" s="18" t="s">
        <v>48</v>
      </c>
      <c r="C150" s="7" t="s">
        <v>65</v>
      </c>
      <c r="D150" s="7" t="s">
        <v>66</v>
      </c>
      <c r="E150" s="7" t="s">
        <v>68</v>
      </c>
      <c r="F150" s="5" t="s">
        <v>22</v>
      </c>
      <c r="G150" s="8">
        <f t="shared" si="14"/>
        <v>1</v>
      </c>
      <c r="H150" s="9" t="s">
        <v>24</v>
      </c>
      <c r="I150" s="9">
        <f t="shared" si="12"/>
        <v>1</v>
      </c>
      <c r="J150" s="9">
        <f t="shared" si="13"/>
        <v>1</v>
      </c>
    </row>
    <row r="151" ht="54">
      <c r="A151" s="16" t="s">
        <v>29</v>
      </c>
      <c r="B151" s="15" t="s">
        <v>48</v>
      </c>
      <c r="C151" s="7" t="s">
        <v>65</v>
      </c>
      <c r="D151" s="7" t="s">
        <v>66</v>
      </c>
      <c r="E151" s="7" t="s">
        <v>69</v>
      </c>
      <c r="F151" s="5" t="s">
        <v>22</v>
      </c>
      <c r="G151" s="8">
        <f t="shared" si="14"/>
        <v>1</v>
      </c>
      <c r="H151" s="9" t="s">
        <v>24</v>
      </c>
      <c r="I151" s="9">
        <f t="shared" si="12"/>
        <v>1</v>
      </c>
      <c r="J151" s="9">
        <f t="shared" si="13"/>
        <v>1</v>
      </c>
    </row>
    <row r="152" ht="72">
      <c r="A152" s="16" t="s">
        <v>29</v>
      </c>
      <c r="B152" s="18" t="s">
        <v>48</v>
      </c>
      <c r="C152" s="7" t="s">
        <v>71</v>
      </c>
      <c r="D152" s="7" t="s">
        <v>72</v>
      </c>
      <c r="E152" s="7" t="s">
        <v>73</v>
      </c>
      <c r="F152" s="5" t="s">
        <v>22</v>
      </c>
      <c r="G152" s="8">
        <f t="shared" si="14"/>
        <v>1</v>
      </c>
      <c r="H152" s="9" t="s">
        <v>24</v>
      </c>
      <c r="I152" s="9">
        <f t="shared" si="12"/>
        <v>1</v>
      </c>
      <c r="J152" s="9">
        <f t="shared" si="13"/>
        <v>1</v>
      </c>
    </row>
    <row r="153" ht="72">
      <c r="A153" s="16" t="s">
        <v>29</v>
      </c>
      <c r="B153" s="15" t="s">
        <v>48</v>
      </c>
      <c r="C153" s="7" t="s">
        <v>71</v>
      </c>
      <c r="D153" s="7" t="s">
        <v>72</v>
      </c>
      <c r="E153" s="7" t="s">
        <v>75</v>
      </c>
      <c r="F153" s="5" t="s">
        <v>22</v>
      </c>
      <c r="G153" s="8">
        <f t="shared" si="14"/>
        <v>1</v>
      </c>
      <c r="H153" s="9" t="s">
        <v>24</v>
      </c>
      <c r="I153" s="9">
        <f t="shared" si="12"/>
        <v>1</v>
      </c>
      <c r="J153" s="9">
        <f t="shared" si="13"/>
        <v>1</v>
      </c>
    </row>
    <row r="154" ht="72">
      <c r="A154" s="16" t="s">
        <v>29</v>
      </c>
      <c r="B154" s="18" t="s">
        <v>48</v>
      </c>
      <c r="C154" s="7" t="s">
        <v>71</v>
      </c>
      <c r="D154" s="7" t="s">
        <v>72</v>
      </c>
      <c r="E154" s="7" t="s">
        <v>76</v>
      </c>
      <c r="F154" s="5" t="s">
        <v>22</v>
      </c>
      <c r="G154" s="8">
        <f t="shared" si="14"/>
        <v>1</v>
      </c>
      <c r="H154" s="9" t="s">
        <v>24</v>
      </c>
      <c r="I154" s="9">
        <f t="shared" si="12"/>
        <v>1</v>
      </c>
      <c r="J154" s="9">
        <f t="shared" si="13"/>
        <v>1</v>
      </c>
    </row>
    <row r="155" ht="72">
      <c r="A155" s="16" t="s">
        <v>29</v>
      </c>
      <c r="B155" s="15" t="s">
        <v>48</v>
      </c>
      <c r="C155" s="7" t="s">
        <v>71</v>
      </c>
      <c r="D155" s="7" t="s">
        <v>72</v>
      </c>
      <c r="E155" s="7" t="s">
        <v>77</v>
      </c>
      <c r="F155" s="5" t="s">
        <v>22</v>
      </c>
      <c r="G155" s="8">
        <f t="shared" si="14"/>
        <v>1</v>
      </c>
      <c r="H155" s="9" t="s">
        <v>24</v>
      </c>
      <c r="I155" s="9">
        <f t="shared" si="12"/>
        <v>1</v>
      </c>
      <c r="J155" s="9">
        <f t="shared" si="13"/>
        <v>1</v>
      </c>
    </row>
    <row r="156" ht="54">
      <c r="A156" s="16" t="s">
        <v>29</v>
      </c>
      <c r="B156" s="18" t="s">
        <v>48</v>
      </c>
      <c r="C156" s="7" t="s">
        <v>78</v>
      </c>
      <c r="D156" s="7" t="s">
        <v>79</v>
      </c>
      <c r="E156" s="7" t="s">
        <v>80</v>
      </c>
      <c r="F156" s="5" t="s">
        <v>22</v>
      </c>
      <c r="G156" s="8">
        <f t="shared" si="14"/>
        <v>1</v>
      </c>
      <c r="H156" s="9" t="s">
        <v>24</v>
      </c>
      <c r="I156" s="9">
        <f t="shared" si="12"/>
        <v>1</v>
      </c>
      <c r="J156" s="9">
        <f t="shared" si="13"/>
        <v>1</v>
      </c>
    </row>
    <row r="157" ht="54">
      <c r="A157" s="16" t="s">
        <v>29</v>
      </c>
      <c r="B157" s="15" t="s">
        <v>48</v>
      </c>
      <c r="C157" s="7" t="s">
        <v>78</v>
      </c>
      <c r="D157" s="7" t="s">
        <v>79</v>
      </c>
      <c r="E157" s="7" t="s">
        <v>81</v>
      </c>
      <c r="F157" s="5" t="s">
        <v>22</v>
      </c>
      <c r="G157" s="8">
        <f t="shared" si="14"/>
        <v>1</v>
      </c>
      <c r="H157" s="9" t="s">
        <v>74</v>
      </c>
      <c r="I157" s="9">
        <f t="shared" si="12"/>
        <v>0</v>
      </c>
      <c r="J157" s="9">
        <f t="shared" si="13"/>
        <v>0.5</v>
      </c>
    </row>
    <row r="158" ht="54">
      <c r="A158" s="16" t="s">
        <v>29</v>
      </c>
      <c r="B158" s="18" t="s">
        <v>48</v>
      </c>
      <c r="C158" s="7" t="s">
        <v>78</v>
      </c>
      <c r="D158" s="7" t="s">
        <v>79</v>
      </c>
      <c r="E158" s="7" t="s">
        <v>82</v>
      </c>
      <c r="F158" s="5" t="s">
        <v>22</v>
      </c>
      <c r="G158" s="8">
        <f t="shared" si="14"/>
        <v>1</v>
      </c>
      <c r="H158" s="9" t="s">
        <v>24</v>
      </c>
      <c r="I158" s="9">
        <f t="shared" si="12"/>
        <v>1</v>
      </c>
      <c r="J158" s="9">
        <f t="shared" si="13"/>
        <v>1</v>
      </c>
    </row>
    <row r="159" ht="72">
      <c r="A159" s="16" t="s">
        <v>29</v>
      </c>
      <c r="B159" s="15" t="s">
        <v>83</v>
      </c>
      <c r="C159" s="7" t="s">
        <v>84</v>
      </c>
      <c r="D159" s="7" t="s">
        <v>85</v>
      </c>
      <c r="E159" s="7" t="s">
        <v>86</v>
      </c>
      <c r="F159" s="5" t="s">
        <v>22</v>
      </c>
      <c r="G159" s="8">
        <f t="shared" si="14"/>
        <v>1</v>
      </c>
      <c r="H159" s="9" t="s">
        <v>24</v>
      </c>
      <c r="I159" s="9">
        <f t="shared" si="12"/>
        <v>1</v>
      </c>
      <c r="J159" s="9">
        <f t="shared" si="13"/>
        <v>1</v>
      </c>
    </row>
    <row r="160" ht="72">
      <c r="A160" s="16" t="s">
        <v>29</v>
      </c>
      <c r="B160" s="18" t="s">
        <v>83</v>
      </c>
      <c r="C160" s="7" t="s">
        <v>84</v>
      </c>
      <c r="D160" s="7" t="s">
        <v>85</v>
      </c>
      <c r="E160" s="7" t="s">
        <v>87</v>
      </c>
      <c r="F160" s="5" t="s">
        <v>53</v>
      </c>
      <c r="G160" s="8">
        <f t="shared" si="14"/>
        <v>0</v>
      </c>
      <c r="H160" s="9" t="s">
        <v>74</v>
      </c>
      <c r="I160" s="9">
        <f t="shared" si="12"/>
        <v>0</v>
      </c>
      <c r="J160" s="9">
        <f t="shared" si="13"/>
        <v>0</v>
      </c>
    </row>
    <row r="161" ht="72">
      <c r="A161" s="16" t="s">
        <v>29</v>
      </c>
      <c r="B161" s="15" t="s">
        <v>83</v>
      </c>
      <c r="C161" s="7" t="s">
        <v>84</v>
      </c>
      <c r="D161" s="7" t="s">
        <v>85</v>
      </c>
      <c r="E161" s="7" t="s">
        <v>88</v>
      </c>
      <c r="F161" s="5" t="s">
        <v>22</v>
      </c>
      <c r="G161" s="8">
        <f t="shared" si="14"/>
        <v>1</v>
      </c>
      <c r="H161" s="9" t="s">
        <v>74</v>
      </c>
      <c r="I161" s="9">
        <f t="shared" si="12"/>
        <v>0</v>
      </c>
      <c r="J161" s="9">
        <f t="shared" si="13"/>
        <v>0.5</v>
      </c>
    </row>
    <row r="162" ht="54">
      <c r="A162" s="16" t="s">
        <v>29</v>
      </c>
      <c r="B162" s="18" t="s">
        <v>83</v>
      </c>
      <c r="C162" s="7" t="s">
        <v>84</v>
      </c>
      <c r="D162" s="7" t="s">
        <v>85</v>
      </c>
      <c r="E162" s="7" t="s">
        <v>89</v>
      </c>
      <c r="F162" s="5" t="s">
        <v>53</v>
      </c>
      <c r="G162" s="8">
        <f t="shared" si="14"/>
        <v>0</v>
      </c>
      <c r="H162" s="9" t="s">
        <v>74</v>
      </c>
      <c r="I162" s="9">
        <f t="shared" si="12"/>
        <v>0</v>
      </c>
      <c r="J162" s="9">
        <f t="shared" si="13"/>
        <v>0</v>
      </c>
    </row>
    <row r="163" ht="54">
      <c r="A163" s="16" t="s">
        <v>29</v>
      </c>
      <c r="B163" s="15" t="s">
        <v>83</v>
      </c>
      <c r="C163" s="7" t="s">
        <v>84</v>
      </c>
      <c r="D163" s="7" t="s">
        <v>85</v>
      </c>
      <c r="E163" s="7" t="s">
        <v>90</v>
      </c>
      <c r="F163" s="5" t="s">
        <v>22</v>
      </c>
      <c r="G163" s="8">
        <f t="shared" si="14"/>
        <v>1</v>
      </c>
      <c r="H163" s="9" t="s">
        <v>24</v>
      </c>
      <c r="I163" s="9">
        <f t="shared" si="12"/>
        <v>1</v>
      </c>
      <c r="J163" s="9">
        <f t="shared" si="13"/>
        <v>1</v>
      </c>
    </row>
    <row r="164" ht="90">
      <c r="A164" s="16" t="s">
        <v>29</v>
      </c>
      <c r="B164" s="18" t="s">
        <v>83</v>
      </c>
      <c r="C164" s="7" t="s">
        <v>91</v>
      </c>
      <c r="D164" s="7" t="s">
        <v>92</v>
      </c>
      <c r="E164" s="7" t="s">
        <v>93</v>
      </c>
      <c r="F164" s="5" t="s">
        <v>70</v>
      </c>
      <c r="G164" s="8">
        <f t="shared" si="14"/>
        <v>0.5</v>
      </c>
      <c r="H164" s="9" t="s">
        <v>95</v>
      </c>
      <c r="I164" s="9">
        <f t="shared" si="12"/>
        <v>0.5</v>
      </c>
      <c r="J164" s="9">
        <f t="shared" si="13"/>
        <v>0.5</v>
      </c>
    </row>
    <row r="165" ht="90">
      <c r="A165" s="16" t="s">
        <v>29</v>
      </c>
      <c r="B165" s="15" t="s">
        <v>83</v>
      </c>
      <c r="C165" s="7" t="s">
        <v>91</v>
      </c>
      <c r="D165" s="7" t="s">
        <v>92</v>
      </c>
      <c r="E165" s="7" t="s">
        <v>94</v>
      </c>
      <c r="F165" s="5" t="s">
        <v>70</v>
      </c>
      <c r="G165" s="8">
        <f t="shared" si="14"/>
        <v>0.5</v>
      </c>
      <c r="H165" s="9" t="s">
        <v>31</v>
      </c>
      <c r="I165" s="9">
        <f t="shared" si="12"/>
        <v>0.5</v>
      </c>
      <c r="J165" s="9">
        <f t="shared" si="13"/>
        <v>0.5</v>
      </c>
    </row>
    <row r="166" ht="90">
      <c r="A166" s="16" t="s">
        <v>29</v>
      </c>
      <c r="B166" s="18" t="s">
        <v>83</v>
      </c>
      <c r="C166" s="7" t="s">
        <v>91</v>
      </c>
      <c r="D166" s="7" t="s">
        <v>92</v>
      </c>
      <c r="E166" s="7" t="s">
        <v>96</v>
      </c>
      <c r="F166" s="5" t="s">
        <v>70</v>
      </c>
      <c r="G166" s="8">
        <f t="shared" si="14"/>
        <v>0.5</v>
      </c>
      <c r="H166" s="9" t="s">
        <v>31</v>
      </c>
      <c r="I166" s="9">
        <f t="shared" si="12"/>
        <v>0.5</v>
      </c>
      <c r="J166" s="9">
        <f t="shared" si="13"/>
        <v>0.5</v>
      </c>
    </row>
    <row r="167" ht="90">
      <c r="A167" s="16" t="s">
        <v>29</v>
      </c>
      <c r="B167" s="15" t="s">
        <v>83</v>
      </c>
      <c r="C167" s="7" t="s">
        <v>91</v>
      </c>
      <c r="D167" s="7" t="s">
        <v>92</v>
      </c>
      <c r="E167" s="7" t="s">
        <v>97</v>
      </c>
      <c r="F167" s="5" t="s">
        <v>22</v>
      </c>
      <c r="G167" s="8">
        <f t="shared" si="14"/>
        <v>1</v>
      </c>
      <c r="H167" s="9" t="s">
        <v>24</v>
      </c>
      <c r="I167" s="9">
        <f t="shared" si="12"/>
        <v>1</v>
      </c>
      <c r="J167" s="9">
        <f t="shared" si="13"/>
        <v>1</v>
      </c>
    </row>
    <row r="168" ht="54">
      <c r="A168" s="16" t="s">
        <v>29</v>
      </c>
      <c r="B168" s="18" t="s">
        <v>83</v>
      </c>
      <c r="C168" s="7" t="s">
        <v>98</v>
      </c>
      <c r="D168" s="7" t="s">
        <v>99</v>
      </c>
      <c r="E168" s="7" t="s">
        <v>100</v>
      </c>
      <c r="F168" s="5" t="s">
        <v>22</v>
      </c>
      <c r="G168" s="8">
        <f t="shared" si="14"/>
        <v>1</v>
      </c>
      <c r="H168" s="9" t="s">
        <v>95</v>
      </c>
      <c r="I168" s="9">
        <f t="shared" si="12"/>
        <v>0.5</v>
      </c>
      <c r="J168" s="9">
        <f t="shared" si="13"/>
        <v>0.75</v>
      </c>
    </row>
    <row r="169" ht="54">
      <c r="A169" s="16" t="s">
        <v>29</v>
      </c>
      <c r="B169" s="15" t="s">
        <v>83</v>
      </c>
      <c r="C169" s="7" t="s">
        <v>98</v>
      </c>
      <c r="D169" s="7" t="s">
        <v>99</v>
      </c>
      <c r="E169" s="7" t="s">
        <v>101</v>
      </c>
      <c r="F169" s="5" t="s">
        <v>53</v>
      </c>
      <c r="G169" s="8">
        <f t="shared" si="14"/>
        <v>0</v>
      </c>
      <c r="H169" s="9" t="s">
        <v>74</v>
      </c>
      <c r="I169" s="9">
        <f t="shared" si="12"/>
        <v>0</v>
      </c>
      <c r="J169" s="9">
        <f t="shared" si="13"/>
        <v>0</v>
      </c>
    </row>
    <row r="170" ht="72">
      <c r="A170" s="16" t="s">
        <v>29</v>
      </c>
      <c r="B170" s="18" t="s">
        <v>83</v>
      </c>
      <c r="C170" s="7" t="s">
        <v>98</v>
      </c>
      <c r="D170" s="7" t="s">
        <v>99</v>
      </c>
      <c r="E170" s="7" t="s">
        <v>102</v>
      </c>
      <c r="F170" s="5" t="s">
        <v>22</v>
      </c>
      <c r="G170" s="8">
        <f t="shared" si="14"/>
        <v>1</v>
      </c>
      <c r="H170" s="9" t="s">
        <v>24</v>
      </c>
      <c r="I170" s="9">
        <f t="shared" si="12"/>
        <v>1</v>
      </c>
      <c r="J170" s="9">
        <f t="shared" si="13"/>
        <v>1</v>
      </c>
    </row>
    <row r="171" ht="72">
      <c r="A171" s="16" t="s">
        <v>29</v>
      </c>
      <c r="B171" s="15" t="s">
        <v>83</v>
      </c>
      <c r="C171" s="7" t="s">
        <v>103</v>
      </c>
      <c r="D171" s="7" t="s">
        <v>104</v>
      </c>
      <c r="E171" s="7" t="s">
        <v>105</v>
      </c>
      <c r="F171" s="5" t="s">
        <v>53</v>
      </c>
      <c r="G171" s="8">
        <f t="shared" si="14"/>
        <v>0</v>
      </c>
      <c r="H171" s="9" t="s">
        <v>74</v>
      </c>
      <c r="I171" s="9">
        <f t="shared" si="12"/>
        <v>0</v>
      </c>
      <c r="J171" s="9">
        <f t="shared" si="13"/>
        <v>0</v>
      </c>
    </row>
    <row r="172" ht="54">
      <c r="A172" s="16" t="s">
        <v>29</v>
      </c>
      <c r="B172" s="18" t="s">
        <v>83</v>
      </c>
      <c r="C172" s="7" t="s">
        <v>103</v>
      </c>
      <c r="D172" s="7" t="s">
        <v>104</v>
      </c>
      <c r="E172" s="7" t="s">
        <v>106</v>
      </c>
      <c r="F172" s="5" t="s">
        <v>70</v>
      </c>
      <c r="G172" s="8">
        <f t="shared" si="14"/>
        <v>0.5</v>
      </c>
      <c r="H172" s="9" t="s">
        <v>31</v>
      </c>
      <c r="I172" s="9">
        <f t="shared" si="12"/>
        <v>0.5</v>
      </c>
      <c r="J172" s="9">
        <f t="shared" si="13"/>
        <v>0.5</v>
      </c>
    </row>
    <row r="173" ht="72">
      <c r="A173" s="16" t="s">
        <v>29</v>
      </c>
      <c r="B173" s="15" t="s">
        <v>83</v>
      </c>
      <c r="C173" s="7" t="s">
        <v>103</v>
      </c>
      <c r="D173" s="7" t="s">
        <v>104</v>
      </c>
      <c r="E173" s="7" t="s">
        <v>107</v>
      </c>
      <c r="F173" s="5" t="s">
        <v>22</v>
      </c>
      <c r="G173" s="8">
        <f t="shared" si="14"/>
        <v>1</v>
      </c>
      <c r="H173" s="9" t="s">
        <v>95</v>
      </c>
      <c r="I173" s="9">
        <f t="shared" si="12"/>
        <v>0.5</v>
      </c>
      <c r="J173" s="9">
        <f t="shared" si="13"/>
        <v>0.75</v>
      </c>
    </row>
    <row r="174" ht="72">
      <c r="A174" s="16" t="s">
        <v>29</v>
      </c>
      <c r="B174" s="17" t="s">
        <v>108</v>
      </c>
      <c r="C174" s="7" t="s">
        <v>109</v>
      </c>
      <c r="D174" s="7" t="s">
        <v>110</v>
      </c>
      <c r="E174" s="7" t="s">
        <v>111</v>
      </c>
      <c r="F174" s="5" t="s">
        <v>22</v>
      </c>
      <c r="G174" s="8">
        <f t="shared" si="14"/>
        <v>1</v>
      </c>
      <c r="H174" s="9" t="s">
        <v>24</v>
      </c>
      <c r="I174" s="9">
        <f t="shared" si="12"/>
        <v>1</v>
      </c>
      <c r="J174" s="9">
        <f t="shared" si="13"/>
        <v>1</v>
      </c>
    </row>
    <row r="175" ht="54">
      <c r="A175" s="16" t="s">
        <v>29</v>
      </c>
      <c r="B175" s="6" t="s">
        <v>108</v>
      </c>
      <c r="C175" s="7" t="s">
        <v>109</v>
      </c>
      <c r="D175" s="7" t="s">
        <v>110</v>
      </c>
      <c r="E175" s="7" t="s">
        <v>112</v>
      </c>
      <c r="F175" s="5" t="s">
        <v>22</v>
      </c>
      <c r="G175" s="8">
        <f t="shared" si="14"/>
        <v>1</v>
      </c>
      <c r="H175" s="9" t="s">
        <v>24</v>
      </c>
      <c r="I175" s="9">
        <f t="shared" si="12"/>
        <v>1</v>
      </c>
      <c r="J175" s="9">
        <f t="shared" si="13"/>
        <v>1</v>
      </c>
    </row>
    <row r="176" ht="72">
      <c r="A176" s="16" t="s">
        <v>29</v>
      </c>
      <c r="B176" s="17" t="s">
        <v>108</v>
      </c>
      <c r="C176" s="7" t="s">
        <v>109</v>
      </c>
      <c r="D176" s="7" t="s">
        <v>110</v>
      </c>
      <c r="E176" s="7" t="s">
        <v>113</v>
      </c>
      <c r="F176" s="5" t="s">
        <v>70</v>
      </c>
      <c r="G176" s="8">
        <f t="shared" si="14"/>
        <v>0.5</v>
      </c>
      <c r="H176" s="9" t="s">
        <v>24</v>
      </c>
      <c r="I176" s="9">
        <f t="shared" si="12"/>
        <v>1</v>
      </c>
      <c r="J176" s="9">
        <f t="shared" si="13"/>
        <v>0.75</v>
      </c>
    </row>
    <row r="177" ht="72">
      <c r="A177" s="16" t="s">
        <v>29</v>
      </c>
      <c r="B177" s="6" t="s">
        <v>108</v>
      </c>
      <c r="C177" s="7" t="s">
        <v>109</v>
      </c>
      <c r="D177" s="7" t="s">
        <v>110</v>
      </c>
      <c r="E177" s="7" t="s">
        <v>114</v>
      </c>
      <c r="F177" s="5" t="s">
        <v>22</v>
      </c>
      <c r="G177" s="8">
        <f t="shared" si="14"/>
        <v>1</v>
      </c>
      <c r="H177" s="9" t="s">
        <v>24</v>
      </c>
      <c r="I177" s="9">
        <f t="shared" si="12"/>
        <v>1</v>
      </c>
      <c r="J177" s="9">
        <f t="shared" si="13"/>
        <v>1</v>
      </c>
    </row>
    <row r="178" ht="72">
      <c r="A178" s="16" t="s">
        <v>29</v>
      </c>
      <c r="B178" s="17" t="s">
        <v>108</v>
      </c>
      <c r="C178" s="7" t="s">
        <v>115</v>
      </c>
      <c r="D178" s="7" t="s">
        <v>116</v>
      </c>
      <c r="E178" s="7" t="s">
        <v>117</v>
      </c>
      <c r="F178" s="5" t="s">
        <v>22</v>
      </c>
      <c r="G178" s="8">
        <f t="shared" si="14"/>
        <v>1</v>
      </c>
      <c r="H178" s="9" t="s">
        <v>70</v>
      </c>
      <c r="I178" s="9">
        <f t="shared" si="12"/>
        <v>0.5</v>
      </c>
      <c r="J178" s="9">
        <f t="shared" si="13"/>
        <v>0.75</v>
      </c>
    </row>
    <row r="179" ht="72">
      <c r="A179" s="16" t="s">
        <v>29</v>
      </c>
      <c r="B179" s="6" t="s">
        <v>108</v>
      </c>
      <c r="C179" s="7" t="s">
        <v>115</v>
      </c>
      <c r="D179" s="7" t="s">
        <v>116</v>
      </c>
      <c r="E179" s="7" t="s">
        <v>118</v>
      </c>
      <c r="F179" s="5" t="s">
        <v>22</v>
      </c>
      <c r="G179" s="8">
        <f t="shared" si="14"/>
        <v>1</v>
      </c>
      <c r="H179" s="9" t="s">
        <v>74</v>
      </c>
      <c r="I179" s="9">
        <f t="shared" si="12"/>
        <v>0</v>
      </c>
      <c r="J179" s="9">
        <f t="shared" si="13"/>
        <v>0.5</v>
      </c>
    </row>
    <row r="180" ht="72">
      <c r="A180" s="16" t="s">
        <v>29</v>
      </c>
      <c r="B180" s="17" t="s">
        <v>108</v>
      </c>
      <c r="C180" s="7" t="s">
        <v>115</v>
      </c>
      <c r="D180" s="7" t="s">
        <v>116</v>
      </c>
      <c r="E180" s="7" t="s">
        <v>119</v>
      </c>
      <c r="F180" s="5" t="s">
        <v>22</v>
      </c>
      <c r="G180" s="8">
        <f t="shared" si="14"/>
        <v>1</v>
      </c>
      <c r="H180" s="9" t="s">
        <v>95</v>
      </c>
      <c r="I180" s="9">
        <f t="shared" si="12"/>
        <v>0.5</v>
      </c>
      <c r="J180" s="9">
        <f t="shared" si="13"/>
        <v>0.75</v>
      </c>
    </row>
    <row r="181" ht="54">
      <c r="A181" s="16" t="s">
        <v>29</v>
      </c>
      <c r="B181" s="6" t="s">
        <v>108</v>
      </c>
      <c r="C181" s="7" t="s">
        <v>115</v>
      </c>
      <c r="D181" s="7" t="s">
        <v>116</v>
      </c>
      <c r="E181" s="7" t="s">
        <v>120</v>
      </c>
      <c r="F181" s="5" t="s">
        <v>53</v>
      </c>
      <c r="G181" s="8">
        <f t="shared" si="14"/>
        <v>0</v>
      </c>
      <c r="H181" s="9" t="s">
        <v>74</v>
      </c>
      <c r="I181" s="9">
        <f t="shared" si="12"/>
        <v>0</v>
      </c>
      <c r="J181" s="9">
        <f t="shared" si="13"/>
        <v>0</v>
      </c>
    </row>
    <row r="182" ht="54">
      <c r="A182" s="16" t="s">
        <v>29</v>
      </c>
      <c r="B182" s="17" t="s">
        <v>108</v>
      </c>
      <c r="C182" s="7" t="s">
        <v>121</v>
      </c>
      <c r="D182" s="7" t="s">
        <v>122</v>
      </c>
      <c r="E182" s="7" t="s">
        <v>123</v>
      </c>
      <c r="F182" s="5" t="s">
        <v>70</v>
      </c>
      <c r="G182" s="8">
        <f t="shared" si="14"/>
        <v>0.5</v>
      </c>
      <c r="H182" s="9" t="s">
        <v>95</v>
      </c>
      <c r="I182" s="9">
        <f t="shared" si="12"/>
        <v>0.5</v>
      </c>
      <c r="J182" s="9">
        <f t="shared" si="13"/>
        <v>0.5</v>
      </c>
    </row>
    <row r="183" ht="72">
      <c r="A183" s="16" t="s">
        <v>29</v>
      </c>
      <c r="B183" s="6" t="s">
        <v>108</v>
      </c>
      <c r="C183" s="7" t="s">
        <v>121</v>
      </c>
      <c r="D183" s="7" t="s">
        <v>122</v>
      </c>
      <c r="E183" s="7" t="s">
        <v>124</v>
      </c>
      <c r="F183" s="5" t="s">
        <v>70</v>
      </c>
      <c r="G183" s="8">
        <f t="shared" si="14"/>
        <v>0.5</v>
      </c>
      <c r="H183" s="9" t="s">
        <v>31</v>
      </c>
      <c r="I183" s="9">
        <f t="shared" si="12"/>
        <v>0.5</v>
      </c>
      <c r="J183" s="9">
        <f t="shared" si="13"/>
        <v>0.5</v>
      </c>
    </row>
    <row r="184" ht="54">
      <c r="A184" s="16" t="s">
        <v>29</v>
      </c>
      <c r="B184" s="17" t="s">
        <v>108</v>
      </c>
      <c r="C184" s="7" t="s">
        <v>121</v>
      </c>
      <c r="D184" s="7" t="s">
        <v>122</v>
      </c>
      <c r="E184" s="7" t="s">
        <v>125</v>
      </c>
      <c r="F184" s="5" t="s">
        <v>70</v>
      </c>
      <c r="G184" s="8">
        <f t="shared" si="14"/>
        <v>0.5</v>
      </c>
      <c r="H184" s="9" t="s">
        <v>31</v>
      </c>
      <c r="I184" s="9">
        <f t="shared" si="12"/>
        <v>0.5</v>
      </c>
      <c r="J184" s="9">
        <f t="shared" si="13"/>
        <v>0.5</v>
      </c>
    </row>
    <row r="185" ht="54">
      <c r="A185" s="16" t="s">
        <v>29</v>
      </c>
      <c r="B185" s="6" t="s">
        <v>108</v>
      </c>
      <c r="C185" s="7" t="s">
        <v>121</v>
      </c>
      <c r="D185" s="7" t="s">
        <v>122</v>
      </c>
      <c r="E185" s="7" t="s">
        <v>126</v>
      </c>
      <c r="F185" s="5" t="s">
        <v>70</v>
      </c>
      <c r="G185" s="8">
        <f t="shared" si="14"/>
        <v>0.5</v>
      </c>
      <c r="H185" s="9" t="s">
        <v>31</v>
      </c>
      <c r="I185" s="9">
        <f t="shared" si="12"/>
        <v>0.5</v>
      </c>
      <c r="J185" s="9">
        <f t="shared" si="13"/>
        <v>0.5</v>
      </c>
    </row>
    <row r="186" ht="72">
      <c r="A186" s="16" t="s">
        <v>29</v>
      </c>
      <c r="B186" s="17" t="s">
        <v>108</v>
      </c>
      <c r="C186" s="7" t="s">
        <v>127</v>
      </c>
      <c r="D186" s="7" t="s">
        <v>128</v>
      </c>
      <c r="E186" s="7" t="s">
        <v>129</v>
      </c>
      <c r="F186" s="5" t="s">
        <v>70</v>
      </c>
      <c r="G186" s="8">
        <f t="shared" si="14"/>
        <v>0.5</v>
      </c>
      <c r="H186" s="9" t="s">
        <v>31</v>
      </c>
      <c r="I186" s="9">
        <f t="shared" si="12"/>
        <v>0.5</v>
      </c>
      <c r="J186" s="9">
        <f t="shared" si="13"/>
        <v>0.5</v>
      </c>
    </row>
    <row r="187" ht="90">
      <c r="A187" s="16" t="s">
        <v>29</v>
      </c>
      <c r="B187" s="6" t="s">
        <v>108</v>
      </c>
      <c r="C187" s="7" t="s">
        <v>127</v>
      </c>
      <c r="D187" s="7" t="s">
        <v>128</v>
      </c>
      <c r="E187" s="7" t="s">
        <v>130</v>
      </c>
      <c r="F187" s="5" t="s">
        <v>22</v>
      </c>
      <c r="G187" s="8">
        <f t="shared" si="14"/>
        <v>1</v>
      </c>
      <c r="H187" s="9" t="s">
        <v>95</v>
      </c>
      <c r="I187" s="9">
        <f t="shared" si="12"/>
        <v>0.5</v>
      </c>
      <c r="J187" s="9">
        <f t="shared" si="13"/>
        <v>0.75</v>
      </c>
    </row>
    <row r="188" ht="54">
      <c r="A188" s="16" t="s">
        <v>29</v>
      </c>
      <c r="B188" s="17" t="s">
        <v>108</v>
      </c>
      <c r="C188" s="7" t="s">
        <v>127</v>
      </c>
      <c r="D188" s="7" t="s">
        <v>128</v>
      </c>
      <c r="E188" s="7" t="s">
        <v>131</v>
      </c>
      <c r="F188" s="5" t="s">
        <v>70</v>
      </c>
      <c r="G188" s="8">
        <f t="shared" si="14"/>
        <v>0.5</v>
      </c>
      <c r="H188" s="9" t="s">
        <v>95</v>
      </c>
      <c r="I188" s="9">
        <f t="shared" si="12"/>
        <v>0.5</v>
      </c>
      <c r="J188" s="9">
        <f t="shared" si="13"/>
        <v>0.5</v>
      </c>
    </row>
    <row r="189" ht="72">
      <c r="A189" s="16" t="s">
        <v>29</v>
      </c>
      <c r="B189" s="6" t="s">
        <v>108</v>
      </c>
      <c r="C189" s="7" t="s">
        <v>127</v>
      </c>
      <c r="D189" s="7" t="s">
        <v>128</v>
      </c>
      <c r="E189" s="7" t="s">
        <v>132</v>
      </c>
      <c r="F189" s="5" t="s">
        <v>22</v>
      </c>
      <c r="G189" s="8">
        <f t="shared" si="14"/>
        <v>1</v>
      </c>
      <c r="H189" s="9" t="s">
        <v>24</v>
      </c>
      <c r="I189" s="9">
        <v>1</v>
      </c>
      <c r="J189" s="9">
        <f t="shared" si="13"/>
        <v>1</v>
      </c>
    </row>
    <row r="190" ht="90">
      <c r="A190" s="16" t="s">
        <v>29</v>
      </c>
      <c r="B190" s="17" t="s">
        <v>108</v>
      </c>
      <c r="C190" s="7" t="s">
        <v>133</v>
      </c>
      <c r="D190" s="7" t="s">
        <v>134</v>
      </c>
      <c r="E190" s="7" t="s">
        <v>135</v>
      </c>
      <c r="F190" s="5" t="s">
        <v>22</v>
      </c>
      <c r="G190" s="8">
        <f t="shared" si="14"/>
        <v>1</v>
      </c>
      <c r="H190" s="9" t="s">
        <v>95</v>
      </c>
      <c r="I190" s="9">
        <f>IF(H189="Cumple",1,IF(H189="Cumple Parcialmente",0.5,IF(H189="No Cumple",0,"")))</f>
        <v>1</v>
      </c>
      <c r="J190" s="9">
        <f t="shared" si="13"/>
        <v>1</v>
      </c>
    </row>
    <row r="191" ht="90">
      <c r="A191" s="16" t="s">
        <v>29</v>
      </c>
      <c r="B191" s="6" t="s">
        <v>108</v>
      </c>
      <c r="C191" s="7" t="s">
        <v>133</v>
      </c>
      <c r="D191" s="7" t="s">
        <v>134</v>
      </c>
      <c r="E191" s="7" t="s">
        <v>136</v>
      </c>
      <c r="F191" s="5" t="s">
        <v>53</v>
      </c>
      <c r="G191" s="8">
        <f t="shared" si="14"/>
        <v>0</v>
      </c>
      <c r="H191" s="9" t="s">
        <v>74</v>
      </c>
      <c r="I191" s="9">
        <f t="shared" si="12"/>
        <v>0</v>
      </c>
      <c r="J191" s="9">
        <f t="shared" si="13"/>
        <v>0</v>
      </c>
    </row>
    <row r="192" ht="72">
      <c r="A192" s="16" t="s">
        <v>29</v>
      </c>
      <c r="B192" s="17" t="s">
        <v>108</v>
      </c>
      <c r="C192" s="7" t="s">
        <v>133</v>
      </c>
      <c r="D192" s="7" t="s">
        <v>134</v>
      </c>
      <c r="E192" s="7" t="s">
        <v>137</v>
      </c>
      <c r="F192" s="5" t="s">
        <v>53</v>
      </c>
      <c r="G192" s="8">
        <f t="shared" si="14"/>
        <v>0</v>
      </c>
      <c r="H192" s="9" t="s">
        <v>74</v>
      </c>
      <c r="I192" s="9">
        <f t="shared" si="12"/>
        <v>0</v>
      </c>
      <c r="J192" s="9">
        <f t="shared" si="13"/>
        <v>0</v>
      </c>
    </row>
    <row r="193" ht="72">
      <c r="A193" s="16" t="s">
        <v>29</v>
      </c>
      <c r="B193" s="6" t="s">
        <v>108</v>
      </c>
      <c r="C193" s="7" t="s">
        <v>133</v>
      </c>
      <c r="D193" s="7" t="s">
        <v>134</v>
      </c>
      <c r="E193" s="7" t="s">
        <v>138</v>
      </c>
      <c r="F193" s="5" t="s">
        <v>70</v>
      </c>
      <c r="G193" s="8">
        <f t="shared" si="14"/>
        <v>0.5</v>
      </c>
      <c r="H193" s="9" t="s">
        <v>95</v>
      </c>
      <c r="I193" s="9">
        <f t="shared" si="12"/>
        <v>0.5</v>
      </c>
      <c r="J193" s="9">
        <f t="shared" si="13"/>
        <v>0.5</v>
      </c>
    </row>
    <row r="194" ht="36">
      <c r="A194" s="16" t="s">
        <v>32</v>
      </c>
      <c r="B194" s="17" t="s">
        <v>18</v>
      </c>
      <c r="C194" s="7" t="s">
        <v>139</v>
      </c>
      <c r="D194" s="6" t="s">
        <v>20</v>
      </c>
      <c r="E194" s="7" t="s">
        <v>21</v>
      </c>
      <c r="F194" s="5" t="s">
        <v>22</v>
      </c>
      <c r="G194" s="8">
        <f t="shared" si="14"/>
        <v>1</v>
      </c>
      <c r="H194" s="9" t="s">
        <v>24</v>
      </c>
      <c r="I194" s="9">
        <f t="shared" ref="I194:I257" si="15">IF(H194="Cumple",1,IF(H194="Cumple Parcialmente",0.5,IF(H194="No Cumple",0,"")))</f>
        <v>1</v>
      </c>
      <c r="J194" s="9">
        <f t="shared" si="13"/>
        <v>1</v>
      </c>
    </row>
    <row r="195" ht="36">
      <c r="A195" s="16" t="s">
        <v>32</v>
      </c>
      <c r="B195" s="6" t="s">
        <v>18</v>
      </c>
      <c r="C195" s="7" t="s">
        <v>139</v>
      </c>
      <c r="D195" s="6" t="s">
        <v>20</v>
      </c>
      <c r="E195" s="7" t="s">
        <v>23</v>
      </c>
      <c r="F195" s="5" t="s">
        <v>22</v>
      </c>
      <c r="G195" s="8">
        <f t="shared" si="14"/>
        <v>1</v>
      </c>
      <c r="H195" s="9" t="s">
        <v>24</v>
      </c>
      <c r="I195" s="9">
        <f t="shared" si="15"/>
        <v>1</v>
      </c>
      <c r="J195" s="9">
        <f t="shared" ref="J195:J258" si="16">AVERAGE(G195,I195)</f>
        <v>1</v>
      </c>
    </row>
    <row r="196" ht="54">
      <c r="A196" s="16" t="s">
        <v>32</v>
      </c>
      <c r="B196" s="17" t="s">
        <v>18</v>
      </c>
      <c r="C196" s="7" t="s">
        <v>26</v>
      </c>
      <c r="D196" s="7" t="s">
        <v>27</v>
      </c>
      <c r="E196" s="7" t="s">
        <v>28</v>
      </c>
      <c r="F196" s="5" t="s">
        <v>22</v>
      </c>
      <c r="G196" s="8">
        <f t="shared" ref="G196:G259" si="17">IF(F196="Cumple",1,IF(F196="Cumple Parcialmente",0.5,IF(F196="No Cumple",0,"")))</f>
        <v>1</v>
      </c>
      <c r="H196" s="9" t="s">
        <v>24</v>
      </c>
      <c r="I196" s="9">
        <f t="shared" si="15"/>
        <v>1</v>
      </c>
      <c r="J196" s="9">
        <f t="shared" si="16"/>
        <v>1</v>
      </c>
    </row>
    <row r="197" ht="54">
      <c r="A197" s="16" t="s">
        <v>32</v>
      </c>
      <c r="B197" s="6" t="s">
        <v>18</v>
      </c>
      <c r="C197" s="7" t="s">
        <v>26</v>
      </c>
      <c r="D197" s="7" t="s">
        <v>27</v>
      </c>
      <c r="E197" s="7" t="s">
        <v>30</v>
      </c>
      <c r="F197" s="5" t="s">
        <v>22</v>
      </c>
      <c r="G197" s="8">
        <f t="shared" si="17"/>
        <v>1</v>
      </c>
      <c r="H197" s="9" t="s">
        <v>95</v>
      </c>
      <c r="I197" s="9">
        <f t="shared" si="15"/>
        <v>0.5</v>
      </c>
      <c r="J197" s="9">
        <f t="shared" si="16"/>
        <v>0.75</v>
      </c>
    </row>
    <row r="198" ht="54">
      <c r="A198" s="16" t="s">
        <v>32</v>
      </c>
      <c r="B198" s="17" t="s">
        <v>18</v>
      </c>
      <c r="C198" s="7" t="s">
        <v>33</v>
      </c>
      <c r="D198" s="7" t="s">
        <v>34</v>
      </c>
      <c r="E198" s="7" t="s">
        <v>35</v>
      </c>
      <c r="F198" s="5" t="s">
        <v>22</v>
      </c>
      <c r="G198" s="8">
        <f t="shared" si="17"/>
        <v>1</v>
      </c>
      <c r="H198" s="9" t="s">
        <v>24</v>
      </c>
      <c r="I198" s="9">
        <f t="shared" si="15"/>
        <v>1</v>
      </c>
      <c r="J198" s="9">
        <f t="shared" si="16"/>
        <v>1</v>
      </c>
    </row>
    <row r="199" ht="36">
      <c r="A199" s="16" t="s">
        <v>32</v>
      </c>
      <c r="B199" s="6" t="s">
        <v>18</v>
      </c>
      <c r="C199" s="7" t="s">
        <v>33</v>
      </c>
      <c r="D199" s="7" t="s">
        <v>34</v>
      </c>
      <c r="E199" s="7" t="s">
        <v>37</v>
      </c>
      <c r="F199" s="5" t="s">
        <v>22</v>
      </c>
      <c r="G199" s="8">
        <f t="shared" si="17"/>
        <v>1</v>
      </c>
      <c r="H199" s="9" t="s">
        <v>24</v>
      </c>
      <c r="I199" s="9">
        <f t="shared" si="15"/>
        <v>1</v>
      </c>
      <c r="J199" s="9">
        <f t="shared" si="16"/>
        <v>1</v>
      </c>
    </row>
    <row r="200" ht="54">
      <c r="A200" s="16" t="s">
        <v>32</v>
      </c>
      <c r="B200" s="17" t="s">
        <v>18</v>
      </c>
      <c r="C200" s="7" t="s">
        <v>39</v>
      </c>
      <c r="D200" s="7" t="s">
        <v>40</v>
      </c>
      <c r="E200" s="7" t="s">
        <v>41</v>
      </c>
      <c r="F200" s="5" t="s">
        <v>22</v>
      </c>
      <c r="G200" s="8">
        <f t="shared" si="17"/>
        <v>1</v>
      </c>
      <c r="H200" s="9" t="s">
        <v>24</v>
      </c>
      <c r="I200" s="9">
        <f t="shared" si="15"/>
        <v>1</v>
      </c>
      <c r="J200" s="9">
        <f t="shared" si="16"/>
        <v>1</v>
      </c>
    </row>
    <row r="201" ht="54">
      <c r="A201" s="16" t="s">
        <v>32</v>
      </c>
      <c r="B201" s="6" t="s">
        <v>18</v>
      </c>
      <c r="C201" s="7" t="s">
        <v>39</v>
      </c>
      <c r="D201" s="7" t="s">
        <v>40</v>
      </c>
      <c r="E201" s="7" t="s">
        <v>43</v>
      </c>
      <c r="F201" s="5" t="s">
        <v>22</v>
      </c>
      <c r="G201" s="8">
        <f t="shared" si="17"/>
        <v>1</v>
      </c>
      <c r="H201" s="9" t="s">
        <v>24</v>
      </c>
      <c r="I201" s="9">
        <f t="shared" si="15"/>
        <v>1</v>
      </c>
      <c r="J201" s="9">
        <f t="shared" si="16"/>
        <v>1</v>
      </c>
    </row>
    <row r="202" ht="72">
      <c r="A202" s="16" t="s">
        <v>32</v>
      </c>
      <c r="B202" s="17" t="s">
        <v>18</v>
      </c>
      <c r="C202" s="7" t="s">
        <v>44</v>
      </c>
      <c r="D202" s="7" t="s">
        <v>45</v>
      </c>
      <c r="E202" s="7" t="s">
        <v>46</v>
      </c>
      <c r="F202" s="5" t="s">
        <v>22</v>
      </c>
      <c r="G202" s="8">
        <f t="shared" si="17"/>
        <v>1</v>
      </c>
      <c r="H202" s="9" t="s">
        <v>24</v>
      </c>
      <c r="I202" s="9">
        <f t="shared" si="15"/>
        <v>1</v>
      </c>
      <c r="J202" s="9">
        <f t="shared" si="16"/>
        <v>1</v>
      </c>
    </row>
    <row r="203" ht="72">
      <c r="A203" s="16" t="s">
        <v>32</v>
      </c>
      <c r="B203" s="6" t="s">
        <v>18</v>
      </c>
      <c r="C203" s="7" t="s">
        <v>44</v>
      </c>
      <c r="D203" s="7" t="s">
        <v>45</v>
      </c>
      <c r="E203" s="7" t="s">
        <v>47</v>
      </c>
      <c r="F203" s="5" t="s">
        <v>70</v>
      </c>
      <c r="G203" s="8">
        <f t="shared" si="17"/>
        <v>0.5</v>
      </c>
      <c r="H203" s="9" t="s">
        <v>95</v>
      </c>
      <c r="I203" s="9">
        <f t="shared" si="15"/>
        <v>0.5</v>
      </c>
      <c r="J203" s="9">
        <f t="shared" si="16"/>
        <v>0.5</v>
      </c>
    </row>
    <row r="204" ht="54">
      <c r="A204" s="16" t="s">
        <v>32</v>
      </c>
      <c r="B204" s="18" t="s">
        <v>48</v>
      </c>
      <c r="C204" s="7" t="s">
        <v>49</v>
      </c>
      <c r="D204" s="7" t="s">
        <v>50</v>
      </c>
      <c r="E204" s="7" t="s">
        <v>51</v>
      </c>
      <c r="F204" s="5" t="s">
        <v>22</v>
      </c>
      <c r="G204" s="8">
        <f t="shared" si="17"/>
        <v>1</v>
      </c>
      <c r="H204" s="9" t="s">
        <v>24</v>
      </c>
      <c r="I204" s="9">
        <f t="shared" si="15"/>
        <v>1</v>
      </c>
      <c r="J204" s="9">
        <f t="shared" si="16"/>
        <v>1</v>
      </c>
    </row>
    <row r="205" ht="54">
      <c r="A205" s="16" t="s">
        <v>32</v>
      </c>
      <c r="B205" s="15" t="s">
        <v>48</v>
      </c>
      <c r="C205" s="7" t="s">
        <v>49</v>
      </c>
      <c r="D205" s="7" t="s">
        <v>50</v>
      </c>
      <c r="E205" s="7" t="s">
        <v>52</v>
      </c>
      <c r="F205" s="5" t="s">
        <v>70</v>
      </c>
      <c r="G205" s="8">
        <f t="shared" si="17"/>
        <v>0.5</v>
      </c>
      <c r="H205" s="9" t="s">
        <v>95</v>
      </c>
      <c r="I205" s="9">
        <f t="shared" si="15"/>
        <v>0.5</v>
      </c>
      <c r="J205" s="9">
        <f t="shared" si="16"/>
        <v>0.5</v>
      </c>
    </row>
    <row r="206" ht="54">
      <c r="A206" s="16" t="s">
        <v>32</v>
      </c>
      <c r="B206" s="18" t="s">
        <v>48</v>
      </c>
      <c r="C206" s="7" t="s">
        <v>49</v>
      </c>
      <c r="D206" s="7" t="s">
        <v>50</v>
      </c>
      <c r="E206" s="7" t="s">
        <v>54</v>
      </c>
      <c r="F206" s="5" t="s">
        <v>22</v>
      </c>
      <c r="G206" s="8">
        <f t="shared" si="17"/>
        <v>1</v>
      </c>
      <c r="H206" s="9" t="s">
        <v>24</v>
      </c>
      <c r="I206" s="9">
        <f t="shared" si="15"/>
        <v>1</v>
      </c>
      <c r="J206" s="9">
        <f t="shared" si="16"/>
        <v>1</v>
      </c>
    </row>
    <row r="207" ht="54">
      <c r="A207" s="16" t="s">
        <v>32</v>
      </c>
      <c r="B207" s="15" t="s">
        <v>48</v>
      </c>
      <c r="C207" s="7" t="s">
        <v>49</v>
      </c>
      <c r="D207" s="7" t="s">
        <v>50</v>
      </c>
      <c r="E207" s="7" t="s">
        <v>55</v>
      </c>
      <c r="F207" s="5" t="s">
        <v>22</v>
      </c>
      <c r="G207" s="8">
        <f t="shared" si="17"/>
        <v>1</v>
      </c>
      <c r="H207" s="9" t="s">
        <v>24</v>
      </c>
      <c r="I207" s="9">
        <f t="shared" si="15"/>
        <v>1</v>
      </c>
      <c r="J207" s="9">
        <f t="shared" si="16"/>
        <v>1</v>
      </c>
    </row>
    <row r="208" ht="72">
      <c r="A208" s="16" t="s">
        <v>32</v>
      </c>
      <c r="B208" s="18" t="s">
        <v>48</v>
      </c>
      <c r="C208" s="7" t="s">
        <v>56</v>
      </c>
      <c r="D208" s="7" t="s">
        <v>57</v>
      </c>
      <c r="E208" s="7" t="s">
        <v>58</v>
      </c>
      <c r="F208" s="5" t="s">
        <v>22</v>
      </c>
      <c r="G208" s="8">
        <f t="shared" si="17"/>
        <v>1</v>
      </c>
      <c r="H208" s="9" t="s">
        <v>24</v>
      </c>
      <c r="I208" s="9">
        <f t="shared" si="15"/>
        <v>1</v>
      </c>
      <c r="J208" s="9">
        <f t="shared" si="16"/>
        <v>1</v>
      </c>
    </row>
    <row r="209" ht="72">
      <c r="A209" s="16" t="s">
        <v>32</v>
      </c>
      <c r="B209" s="15" t="s">
        <v>48</v>
      </c>
      <c r="C209" s="7" t="s">
        <v>56</v>
      </c>
      <c r="D209" s="7" t="s">
        <v>57</v>
      </c>
      <c r="E209" s="7" t="s">
        <v>59</v>
      </c>
      <c r="F209" s="5" t="s">
        <v>22</v>
      </c>
      <c r="G209" s="8">
        <f t="shared" si="17"/>
        <v>1</v>
      </c>
      <c r="H209" s="9" t="s">
        <v>24</v>
      </c>
      <c r="I209" s="9">
        <f t="shared" si="15"/>
        <v>1</v>
      </c>
      <c r="J209" s="9">
        <f t="shared" si="16"/>
        <v>1</v>
      </c>
    </row>
    <row r="210" ht="54">
      <c r="A210" s="16" t="s">
        <v>32</v>
      </c>
      <c r="B210" s="18" t="s">
        <v>48</v>
      </c>
      <c r="C210" s="7" t="s">
        <v>60</v>
      </c>
      <c r="D210" s="7" t="s">
        <v>61</v>
      </c>
      <c r="E210" s="7" t="s">
        <v>62</v>
      </c>
      <c r="F210" s="5" t="s">
        <v>22</v>
      </c>
      <c r="G210" s="8">
        <f t="shared" si="17"/>
        <v>1</v>
      </c>
      <c r="H210" s="9" t="s">
        <v>95</v>
      </c>
      <c r="I210" s="9">
        <f t="shared" si="15"/>
        <v>0.5</v>
      </c>
      <c r="J210" s="9">
        <f t="shared" si="16"/>
        <v>0.75</v>
      </c>
    </row>
    <row r="211" ht="90">
      <c r="A211" s="16" t="s">
        <v>32</v>
      </c>
      <c r="B211" s="15" t="s">
        <v>48</v>
      </c>
      <c r="C211" s="7" t="s">
        <v>60</v>
      </c>
      <c r="D211" s="7" t="s">
        <v>61</v>
      </c>
      <c r="E211" s="7" t="s">
        <v>63</v>
      </c>
      <c r="F211" s="5" t="s">
        <v>70</v>
      </c>
      <c r="G211" s="8">
        <f t="shared" si="17"/>
        <v>0.5</v>
      </c>
      <c r="H211" s="9" t="s">
        <v>24</v>
      </c>
      <c r="I211" s="9">
        <f t="shared" si="15"/>
        <v>1</v>
      </c>
      <c r="J211" s="9">
        <f t="shared" si="16"/>
        <v>0.75</v>
      </c>
    </row>
    <row r="212" ht="54">
      <c r="A212" s="16" t="s">
        <v>32</v>
      </c>
      <c r="B212" s="18" t="s">
        <v>48</v>
      </c>
      <c r="C212" s="7" t="s">
        <v>60</v>
      </c>
      <c r="D212" s="7" t="s">
        <v>61</v>
      </c>
      <c r="E212" s="7" t="s">
        <v>64</v>
      </c>
      <c r="F212" s="5" t="s">
        <v>53</v>
      </c>
      <c r="G212" s="8">
        <f t="shared" si="17"/>
        <v>0</v>
      </c>
      <c r="H212" s="9" t="s">
        <v>74</v>
      </c>
      <c r="I212" s="9">
        <f t="shared" si="15"/>
        <v>0</v>
      </c>
      <c r="J212" s="9">
        <f t="shared" si="16"/>
        <v>0</v>
      </c>
    </row>
    <row r="213" ht="54">
      <c r="A213" s="16" t="s">
        <v>32</v>
      </c>
      <c r="B213" s="15" t="s">
        <v>48</v>
      </c>
      <c r="C213" s="7" t="s">
        <v>65</v>
      </c>
      <c r="D213" s="7" t="s">
        <v>66</v>
      </c>
      <c r="E213" s="7" t="s">
        <v>67</v>
      </c>
      <c r="F213" s="5" t="s">
        <v>22</v>
      </c>
      <c r="G213" s="8">
        <f t="shared" si="17"/>
        <v>1</v>
      </c>
      <c r="H213" s="9" t="s">
        <v>24</v>
      </c>
      <c r="I213" s="9">
        <f t="shared" si="15"/>
        <v>1</v>
      </c>
      <c r="J213" s="9">
        <f t="shared" si="16"/>
        <v>1</v>
      </c>
    </row>
    <row r="214" ht="72">
      <c r="A214" s="16" t="s">
        <v>32</v>
      </c>
      <c r="B214" s="18" t="s">
        <v>48</v>
      </c>
      <c r="C214" s="7" t="s">
        <v>65</v>
      </c>
      <c r="D214" s="7" t="s">
        <v>66</v>
      </c>
      <c r="E214" s="7" t="s">
        <v>68</v>
      </c>
      <c r="F214" s="5" t="s">
        <v>22</v>
      </c>
      <c r="G214" s="8">
        <f t="shared" si="17"/>
        <v>1</v>
      </c>
      <c r="H214" s="9" t="s">
        <v>24</v>
      </c>
      <c r="I214" s="9">
        <f t="shared" si="15"/>
        <v>1</v>
      </c>
      <c r="J214" s="9">
        <f t="shared" si="16"/>
        <v>1</v>
      </c>
    </row>
    <row r="215" ht="54">
      <c r="A215" s="16" t="s">
        <v>32</v>
      </c>
      <c r="B215" s="15" t="s">
        <v>48</v>
      </c>
      <c r="C215" s="7" t="s">
        <v>65</v>
      </c>
      <c r="D215" s="7" t="s">
        <v>66</v>
      </c>
      <c r="E215" s="7" t="s">
        <v>69</v>
      </c>
      <c r="F215" s="5" t="s">
        <v>22</v>
      </c>
      <c r="G215" s="8">
        <f t="shared" si="17"/>
        <v>1</v>
      </c>
      <c r="H215" s="9" t="s">
        <v>24</v>
      </c>
      <c r="I215" s="9">
        <f t="shared" si="15"/>
        <v>1</v>
      </c>
      <c r="J215" s="9">
        <f t="shared" si="16"/>
        <v>1</v>
      </c>
    </row>
    <row r="216" ht="72">
      <c r="A216" s="16" t="s">
        <v>32</v>
      </c>
      <c r="B216" s="18" t="s">
        <v>48</v>
      </c>
      <c r="C216" s="7" t="s">
        <v>71</v>
      </c>
      <c r="D216" s="7" t="s">
        <v>72</v>
      </c>
      <c r="E216" s="7" t="s">
        <v>73</v>
      </c>
      <c r="F216" s="5" t="s">
        <v>22</v>
      </c>
      <c r="G216" s="8">
        <f t="shared" si="17"/>
        <v>1</v>
      </c>
      <c r="H216" s="9" t="s">
        <v>95</v>
      </c>
      <c r="I216" s="9">
        <f t="shared" si="15"/>
        <v>0.5</v>
      </c>
      <c r="J216" s="9">
        <f t="shared" si="16"/>
        <v>0.75</v>
      </c>
    </row>
    <row r="217" ht="72">
      <c r="A217" s="16" t="s">
        <v>32</v>
      </c>
      <c r="B217" s="15" t="s">
        <v>48</v>
      </c>
      <c r="C217" s="7" t="s">
        <v>71</v>
      </c>
      <c r="D217" s="7" t="s">
        <v>72</v>
      </c>
      <c r="E217" s="7" t="s">
        <v>75</v>
      </c>
      <c r="F217" s="5" t="s">
        <v>70</v>
      </c>
      <c r="G217" s="8">
        <f t="shared" si="17"/>
        <v>0.5</v>
      </c>
      <c r="H217" s="9" t="s">
        <v>31</v>
      </c>
      <c r="I217" s="9">
        <f t="shared" si="15"/>
        <v>0.5</v>
      </c>
      <c r="J217" s="9">
        <f t="shared" si="16"/>
        <v>0.5</v>
      </c>
    </row>
    <row r="218" ht="72">
      <c r="A218" s="16" t="s">
        <v>32</v>
      </c>
      <c r="B218" s="18" t="s">
        <v>48</v>
      </c>
      <c r="C218" s="7" t="s">
        <v>71</v>
      </c>
      <c r="D218" s="7" t="s">
        <v>72</v>
      </c>
      <c r="E218" s="7" t="s">
        <v>76</v>
      </c>
      <c r="F218" s="5" t="s">
        <v>70</v>
      </c>
      <c r="G218" s="8">
        <f t="shared" si="17"/>
        <v>0.5</v>
      </c>
      <c r="H218" s="9" t="s">
        <v>31</v>
      </c>
      <c r="I218" s="9">
        <f t="shared" si="15"/>
        <v>0.5</v>
      </c>
      <c r="J218" s="9">
        <f t="shared" si="16"/>
        <v>0.5</v>
      </c>
    </row>
    <row r="219" ht="72">
      <c r="A219" s="16" t="s">
        <v>32</v>
      </c>
      <c r="B219" s="15" t="s">
        <v>48</v>
      </c>
      <c r="C219" s="7" t="s">
        <v>71</v>
      </c>
      <c r="D219" s="7" t="s">
        <v>72</v>
      </c>
      <c r="E219" s="7" t="s">
        <v>77</v>
      </c>
      <c r="F219" s="5" t="s">
        <v>70</v>
      </c>
      <c r="G219" s="8">
        <f t="shared" si="17"/>
        <v>0.5</v>
      </c>
      <c r="H219" s="9" t="s">
        <v>31</v>
      </c>
      <c r="I219" s="9">
        <f t="shared" si="15"/>
        <v>0.5</v>
      </c>
      <c r="J219" s="9">
        <f t="shared" si="16"/>
        <v>0.5</v>
      </c>
    </row>
    <row r="220" ht="54">
      <c r="A220" s="16" t="s">
        <v>32</v>
      </c>
      <c r="B220" s="18" t="s">
        <v>48</v>
      </c>
      <c r="C220" s="7" t="s">
        <v>78</v>
      </c>
      <c r="D220" s="7" t="s">
        <v>79</v>
      </c>
      <c r="E220" s="7" t="s">
        <v>80</v>
      </c>
      <c r="F220" s="5" t="s">
        <v>53</v>
      </c>
      <c r="G220" s="8">
        <f t="shared" si="17"/>
        <v>0</v>
      </c>
      <c r="H220" s="9" t="s">
        <v>74</v>
      </c>
      <c r="I220" s="9">
        <f t="shared" si="15"/>
        <v>0</v>
      </c>
      <c r="J220" s="9">
        <f t="shared" si="16"/>
        <v>0</v>
      </c>
    </row>
    <row r="221" ht="54">
      <c r="A221" s="16" t="s">
        <v>32</v>
      </c>
      <c r="B221" s="15" t="s">
        <v>48</v>
      </c>
      <c r="C221" s="7" t="s">
        <v>78</v>
      </c>
      <c r="D221" s="7" t="s">
        <v>79</v>
      </c>
      <c r="E221" s="7" t="s">
        <v>81</v>
      </c>
      <c r="F221" s="5" t="s">
        <v>53</v>
      </c>
      <c r="G221" s="8">
        <f t="shared" si="17"/>
        <v>0</v>
      </c>
      <c r="H221" s="9" t="s">
        <v>74</v>
      </c>
      <c r="I221" s="9">
        <f t="shared" si="15"/>
        <v>0</v>
      </c>
      <c r="J221" s="9">
        <f t="shared" si="16"/>
        <v>0</v>
      </c>
    </row>
    <row r="222" ht="54">
      <c r="A222" s="16" t="s">
        <v>32</v>
      </c>
      <c r="B222" s="18" t="s">
        <v>48</v>
      </c>
      <c r="C222" s="7" t="s">
        <v>78</v>
      </c>
      <c r="D222" s="7" t="s">
        <v>79</v>
      </c>
      <c r="E222" s="7" t="s">
        <v>82</v>
      </c>
      <c r="F222" s="5" t="s">
        <v>70</v>
      </c>
      <c r="G222" s="8">
        <f t="shared" si="17"/>
        <v>0.5</v>
      </c>
      <c r="H222" s="9" t="s">
        <v>31</v>
      </c>
      <c r="I222" s="9">
        <f t="shared" si="15"/>
        <v>0.5</v>
      </c>
      <c r="J222" s="9">
        <f t="shared" si="16"/>
        <v>0.5</v>
      </c>
    </row>
    <row r="223" ht="72">
      <c r="A223" s="16" t="s">
        <v>32</v>
      </c>
      <c r="B223" s="15" t="s">
        <v>83</v>
      </c>
      <c r="C223" s="7" t="s">
        <v>84</v>
      </c>
      <c r="D223" s="7" t="s">
        <v>85</v>
      </c>
      <c r="E223" s="7" t="s">
        <v>86</v>
      </c>
      <c r="F223" s="5" t="s">
        <v>22</v>
      </c>
      <c r="G223" s="8">
        <f t="shared" si="17"/>
        <v>1</v>
      </c>
      <c r="H223" s="9" t="s">
        <v>24</v>
      </c>
      <c r="I223" s="9">
        <f t="shared" si="15"/>
        <v>1</v>
      </c>
      <c r="J223" s="9">
        <f t="shared" si="16"/>
        <v>1</v>
      </c>
    </row>
    <row r="224" ht="72">
      <c r="A224" s="16" t="s">
        <v>32</v>
      </c>
      <c r="B224" s="18" t="s">
        <v>83</v>
      </c>
      <c r="C224" s="7" t="s">
        <v>84</v>
      </c>
      <c r="D224" s="7" t="s">
        <v>85</v>
      </c>
      <c r="E224" s="7" t="s">
        <v>87</v>
      </c>
      <c r="F224" s="5" t="s">
        <v>53</v>
      </c>
      <c r="G224" s="8">
        <f t="shared" si="17"/>
        <v>0</v>
      </c>
      <c r="H224" s="9" t="s">
        <v>74</v>
      </c>
      <c r="I224" s="9">
        <f t="shared" si="15"/>
        <v>0</v>
      </c>
      <c r="J224" s="9">
        <f t="shared" si="16"/>
        <v>0</v>
      </c>
    </row>
    <row r="225" ht="72">
      <c r="A225" s="16" t="s">
        <v>32</v>
      </c>
      <c r="B225" s="15" t="s">
        <v>83</v>
      </c>
      <c r="C225" s="7" t="s">
        <v>84</v>
      </c>
      <c r="D225" s="7" t="s">
        <v>85</v>
      </c>
      <c r="E225" s="7" t="s">
        <v>88</v>
      </c>
      <c r="F225" s="5" t="s">
        <v>53</v>
      </c>
      <c r="G225" s="8">
        <f t="shared" si="17"/>
        <v>0</v>
      </c>
      <c r="H225" s="9" t="s">
        <v>74</v>
      </c>
      <c r="I225" s="9">
        <f t="shared" si="15"/>
        <v>0</v>
      </c>
      <c r="J225" s="9">
        <f t="shared" si="16"/>
        <v>0</v>
      </c>
    </row>
    <row r="226" ht="54">
      <c r="A226" s="16" t="s">
        <v>32</v>
      </c>
      <c r="B226" s="18" t="s">
        <v>83</v>
      </c>
      <c r="C226" s="7" t="s">
        <v>84</v>
      </c>
      <c r="D226" s="7" t="s">
        <v>85</v>
      </c>
      <c r="E226" s="7" t="s">
        <v>89</v>
      </c>
      <c r="F226" s="5" t="s">
        <v>53</v>
      </c>
      <c r="G226" s="8">
        <f t="shared" si="17"/>
        <v>0</v>
      </c>
      <c r="H226" s="9" t="s">
        <v>74</v>
      </c>
      <c r="I226" s="9">
        <f t="shared" si="15"/>
        <v>0</v>
      </c>
      <c r="J226" s="9">
        <f t="shared" si="16"/>
        <v>0</v>
      </c>
    </row>
    <row r="227" ht="54">
      <c r="A227" s="16" t="s">
        <v>32</v>
      </c>
      <c r="B227" s="15" t="s">
        <v>83</v>
      </c>
      <c r="C227" s="7" t="s">
        <v>84</v>
      </c>
      <c r="D227" s="7" t="s">
        <v>85</v>
      </c>
      <c r="E227" s="7" t="s">
        <v>90</v>
      </c>
      <c r="F227" s="5" t="s">
        <v>22</v>
      </c>
      <c r="G227" s="8">
        <f t="shared" si="17"/>
        <v>1</v>
      </c>
      <c r="H227" s="9" t="s">
        <v>24</v>
      </c>
      <c r="I227" s="9">
        <f t="shared" si="15"/>
        <v>1</v>
      </c>
      <c r="J227" s="9">
        <f t="shared" si="16"/>
        <v>1</v>
      </c>
    </row>
    <row r="228" ht="90">
      <c r="A228" s="16" t="s">
        <v>32</v>
      </c>
      <c r="B228" s="18" t="s">
        <v>83</v>
      </c>
      <c r="C228" s="7" t="s">
        <v>91</v>
      </c>
      <c r="D228" s="7" t="s">
        <v>92</v>
      </c>
      <c r="E228" s="7" t="s">
        <v>93</v>
      </c>
      <c r="F228" s="5" t="s">
        <v>22</v>
      </c>
      <c r="G228" s="8">
        <f t="shared" si="17"/>
        <v>1</v>
      </c>
      <c r="H228" s="9" t="s">
        <v>95</v>
      </c>
      <c r="I228" s="9">
        <f t="shared" si="15"/>
        <v>0.5</v>
      </c>
      <c r="J228" s="9">
        <f t="shared" si="16"/>
        <v>0.75</v>
      </c>
    </row>
    <row r="229" ht="90">
      <c r="A229" s="16" t="s">
        <v>32</v>
      </c>
      <c r="B229" s="15" t="s">
        <v>83</v>
      </c>
      <c r="C229" s="7" t="s">
        <v>91</v>
      </c>
      <c r="D229" s="7" t="s">
        <v>92</v>
      </c>
      <c r="E229" s="7" t="s">
        <v>94</v>
      </c>
      <c r="F229" s="5" t="s">
        <v>53</v>
      </c>
      <c r="G229" s="8">
        <f t="shared" si="17"/>
        <v>0</v>
      </c>
      <c r="H229" s="9" t="s">
        <v>74</v>
      </c>
      <c r="I229" s="9">
        <f t="shared" si="15"/>
        <v>0</v>
      </c>
      <c r="J229" s="9">
        <f t="shared" si="16"/>
        <v>0</v>
      </c>
    </row>
    <row r="230" ht="90">
      <c r="A230" s="16" t="s">
        <v>32</v>
      </c>
      <c r="B230" s="18" t="s">
        <v>83</v>
      </c>
      <c r="C230" s="7" t="s">
        <v>91</v>
      </c>
      <c r="D230" s="7" t="s">
        <v>92</v>
      </c>
      <c r="E230" s="7" t="s">
        <v>96</v>
      </c>
      <c r="F230" s="5" t="s">
        <v>53</v>
      </c>
      <c r="G230" s="8">
        <f t="shared" si="17"/>
        <v>0</v>
      </c>
      <c r="H230" s="9" t="s">
        <v>74</v>
      </c>
      <c r="I230" s="9">
        <f t="shared" si="15"/>
        <v>0</v>
      </c>
      <c r="J230" s="9">
        <f t="shared" si="16"/>
        <v>0</v>
      </c>
    </row>
    <row r="231" ht="90">
      <c r="A231" s="16" t="s">
        <v>32</v>
      </c>
      <c r="B231" s="15" t="s">
        <v>83</v>
      </c>
      <c r="C231" s="7" t="s">
        <v>91</v>
      </c>
      <c r="D231" s="7" t="s">
        <v>92</v>
      </c>
      <c r="E231" s="7" t="s">
        <v>97</v>
      </c>
      <c r="F231" s="5" t="s">
        <v>53</v>
      </c>
      <c r="G231" s="8">
        <f t="shared" si="17"/>
        <v>0</v>
      </c>
      <c r="H231" s="9" t="s">
        <v>74</v>
      </c>
      <c r="I231" s="9">
        <f t="shared" si="15"/>
        <v>0</v>
      </c>
      <c r="J231" s="9">
        <f t="shared" si="16"/>
        <v>0</v>
      </c>
    </row>
    <row r="232" ht="54">
      <c r="A232" s="16" t="s">
        <v>32</v>
      </c>
      <c r="B232" s="18" t="s">
        <v>83</v>
      </c>
      <c r="C232" s="7" t="s">
        <v>98</v>
      </c>
      <c r="D232" s="7" t="s">
        <v>99</v>
      </c>
      <c r="E232" s="7" t="s">
        <v>100</v>
      </c>
      <c r="F232" s="5" t="s">
        <v>22</v>
      </c>
      <c r="G232" s="8">
        <f t="shared" si="17"/>
        <v>1</v>
      </c>
      <c r="H232" s="9" t="s">
        <v>95</v>
      </c>
      <c r="I232" s="9">
        <f t="shared" si="15"/>
        <v>0.5</v>
      </c>
      <c r="J232" s="9">
        <f t="shared" si="16"/>
        <v>0.75</v>
      </c>
    </row>
    <row r="233" ht="54">
      <c r="A233" s="16" t="s">
        <v>32</v>
      </c>
      <c r="B233" s="15" t="s">
        <v>83</v>
      </c>
      <c r="C233" s="7" t="s">
        <v>98</v>
      </c>
      <c r="D233" s="7" t="s">
        <v>99</v>
      </c>
      <c r="E233" s="7" t="s">
        <v>101</v>
      </c>
      <c r="F233" s="5" t="s">
        <v>53</v>
      </c>
      <c r="G233" s="8">
        <f t="shared" si="17"/>
        <v>0</v>
      </c>
      <c r="H233" s="9" t="s">
        <v>74</v>
      </c>
      <c r="I233" s="9">
        <f t="shared" si="15"/>
        <v>0</v>
      </c>
      <c r="J233" s="9">
        <f t="shared" si="16"/>
        <v>0</v>
      </c>
    </row>
    <row r="234" ht="72">
      <c r="A234" s="16" t="s">
        <v>32</v>
      </c>
      <c r="B234" s="18" t="s">
        <v>83</v>
      </c>
      <c r="C234" s="7" t="s">
        <v>98</v>
      </c>
      <c r="D234" s="7" t="s">
        <v>99</v>
      </c>
      <c r="E234" s="7" t="s">
        <v>102</v>
      </c>
      <c r="F234" s="5" t="s">
        <v>22</v>
      </c>
      <c r="G234" s="8">
        <f t="shared" si="17"/>
        <v>1</v>
      </c>
      <c r="H234" s="9" t="s">
        <v>70</v>
      </c>
      <c r="I234" s="9">
        <f t="shared" si="15"/>
        <v>0.5</v>
      </c>
      <c r="J234" s="9">
        <f t="shared" si="16"/>
        <v>0.75</v>
      </c>
    </row>
    <row r="235" ht="72">
      <c r="A235" s="16" t="s">
        <v>32</v>
      </c>
      <c r="B235" s="15" t="s">
        <v>83</v>
      </c>
      <c r="C235" s="7" t="s">
        <v>103</v>
      </c>
      <c r="D235" s="7" t="s">
        <v>104</v>
      </c>
      <c r="E235" s="7" t="s">
        <v>105</v>
      </c>
      <c r="F235" s="5" t="s">
        <v>22</v>
      </c>
      <c r="G235" s="8">
        <f t="shared" si="17"/>
        <v>1</v>
      </c>
      <c r="H235" s="9" t="s">
        <v>95</v>
      </c>
      <c r="I235" s="9">
        <f t="shared" si="15"/>
        <v>0.5</v>
      </c>
      <c r="J235" s="9">
        <f t="shared" si="16"/>
        <v>0.75</v>
      </c>
    </row>
    <row r="236" ht="54">
      <c r="A236" s="16" t="s">
        <v>32</v>
      </c>
      <c r="B236" s="18" t="s">
        <v>83</v>
      </c>
      <c r="C236" s="7" t="s">
        <v>103</v>
      </c>
      <c r="D236" s="7" t="s">
        <v>104</v>
      </c>
      <c r="E236" s="7" t="s">
        <v>106</v>
      </c>
      <c r="F236" s="5" t="s">
        <v>22</v>
      </c>
      <c r="G236" s="8">
        <f t="shared" si="17"/>
        <v>1</v>
      </c>
      <c r="H236" s="9" t="s">
        <v>24</v>
      </c>
      <c r="I236" s="9">
        <f t="shared" si="15"/>
        <v>1</v>
      </c>
      <c r="J236" s="9">
        <f t="shared" si="16"/>
        <v>1</v>
      </c>
    </row>
    <row r="237" ht="72">
      <c r="A237" s="16" t="s">
        <v>32</v>
      </c>
      <c r="B237" s="15" t="s">
        <v>83</v>
      </c>
      <c r="C237" s="7" t="s">
        <v>103</v>
      </c>
      <c r="D237" s="7" t="s">
        <v>104</v>
      </c>
      <c r="E237" s="7" t="s">
        <v>107</v>
      </c>
      <c r="F237" s="5" t="s">
        <v>22</v>
      </c>
      <c r="G237" s="8">
        <f t="shared" si="17"/>
        <v>1</v>
      </c>
      <c r="H237" s="9" t="s">
        <v>95</v>
      </c>
      <c r="I237" s="9">
        <f t="shared" si="15"/>
        <v>0.5</v>
      </c>
      <c r="J237" s="9">
        <f t="shared" si="16"/>
        <v>0.75</v>
      </c>
    </row>
    <row r="238" ht="72">
      <c r="A238" s="16" t="s">
        <v>32</v>
      </c>
      <c r="B238" s="17" t="s">
        <v>108</v>
      </c>
      <c r="C238" s="7" t="s">
        <v>109</v>
      </c>
      <c r="D238" s="7" t="s">
        <v>110</v>
      </c>
      <c r="E238" s="7" t="s">
        <v>111</v>
      </c>
      <c r="F238" s="5" t="s">
        <v>22</v>
      </c>
      <c r="G238" s="8">
        <f t="shared" si="17"/>
        <v>1</v>
      </c>
      <c r="H238" s="9" t="s">
        <v>95</v>
      </c>
      <c r="I238" s="9">
        <f t="shared" si="15"/>
        <v>0.5</v>
      </c>
      <c r="J238" s="9">
        <f t="shared" si="16"/>
        <v>0.75</v>
      </c>
    </row>
    <row r="239" ht="54">
      <c r="A239" s="16" t="s">
        <v>32</v>
      </c>
      <c r="B239" s="6" t="s">
        <v>108</v>
      </c>
      <c r="C239" s="7" t="s">
        <v>109</v>
      </c>
      <c r="D239" s="7" t="s">
        <v>110</v>
      </c>
      <c r="E239" s="7" t="s">
        <v>112</v>
      </c>
      <c r="F239" s="5" t="s">
        <v>22</v>
      </c>
      <c r="G239" s="8">
        <f t="shared" si="17"/>
        <v>1</v>
      </c>
      <c r="H239" s="9" t="s">
        <v>95</v>
      </c>
      <c r="I239" s="9">
        <f t="shared" si="15"/>
        <v>0.5</v>
      </c>
      <c r="J239" s="9">
        <f t="shared" si="16"/>
        <v>0.75</v>
      </c>
    </row>
    <row r="240" ht="72">
      <c r="A240" s="16" t="s">
        <v>32</v>
      </c>
      <c r="B240" s="17" t="s">
        <v>108</v>
      </c>
      <c r="C240" s="7" t="s">
        <v>109</v>
      </c>
      <c r="D240" s="7" t="s">
        <v>110</v>
      </c>
      <c r="E240" s="7" t="s">
        <v>113</v>
      </c>
      <c r="F240" s="5" t="s">
        <v>70</v>
      </c>
      <c r="G240" s="8">
        <f t="shared" si="17"/>
        <v>0.5</v>
      </c>
      <c r="H240" s="9" t="s">
        <v>95</v>
      </c>
      <c r="I240" s="9">
        <f t="shared" si="15"/>
        <v>0.5</v>
      </c>
      <c r="J240" s="9">
        <f t="shared" si="16"/>
        <v>0.5</v>
      </c>
    </row>
    <row r="241" ht="72">
      <c r="A241" s="16" t="s">
        <v>32</v>
      </c>
      <c r="B241" s="6" t="s">
        <v>108</v>
      </c>
      <c r="C241" s="7" t="s">
        <v>109</v>
      </c>
      <c r="D241" s="7" t="s">
        <v>110</v>
      </c>
      <c r="E241" s="7" t="s">
        <v>114</v>
      </c>
      <c r="F241" s="5" t="s">
        <v>22</v>
      </c>
      <c r="G241" s="8">
        <f t="shared" si="17"/>
        <v>1</v>
      </c>
      <c r="H241" s="9" t="s">
        <v>24</v>
      </c>
      <c r="I241" s="9">
        <f t="shared" si="15"/>
        <v>1</v>
      </c>
      <c r="J241" s="9">
        <f t="shared" si="16"/>
        <v>1</v>
      </c>
    </row>
    <row r="242" ht="72">
      <c r="A242" s="16" t="s">
        <v>32</v>
      </c>
      <c r="B242" s="17" t="s">
        <v>108</v>
      </c>
      <c r="C242" s="7" t="s">
        <v>115</v>
      </c>
      <c r="D242" s="7" t="s">
        <v>116</v>
      </c>
      <c r="E242" s="7" t="s">
        <v>117</v>
      </c>
      <c r="F242" s="5" t="s">
        <v>22</v>
      </c>
      <c r="G242" s="8">
        <f t="shared" si="17"/>
        <v>1</v>
      </c>
      <c r="H242" s="9" t="s">
        <v>24</v>
      </c>
      <c r="I242" s="9">
        <f t="shared" si="15"/>
        <v>1</v>
      </c>
      <c r="J242" s="9">
        <f t="shared" si="16"/>
        <v>1</v>
      </c>
    </row>
    <row r="243" ht="72">
      <c r="A243" s="16" t="s">
        <v>32</v>
      </c>
      <c r="B243" s="6" t="s">
        <v>108</v>
      </c>
      <c r="C243" s="7" t="s">
        <v>115</v>
      </c>
      <c r="D243" s="7" t="s">
        <v>116</v>
      </c>
      <c r="E243" s="7" t="s">
        <v>118</v>
      </c>
      <c r="F243" s="5" t="s">
        <v>22</v>
      </c>
      <c r="G243" s="8">
        <f t="shared" si="17"/>
        <v>1</v>
      </c>
      <c r="H243" s="9" t="s">
        <v>95</v>
      </c>
      <c r="I243" s="9">
        <f t="shared" si="15"/>
        <v>0.5</v>
      </c>
      <c r="J243" s="9">
        <f t="shared" si="16"/>
        <v>0.75</v>
      </c>
    </row>
    <row r="244" ht="72">
      <c r="A244" s="16" t="s">
        <v>32</v>
      </c>
      <c r="B244" s="17" t="s">
        <v>108</v>
      </c>
      <c r="C244" s="7" t="s">
        <v>115</v>
      </c>
      <c r="D244" s="7" t="s">
        <v>116</v>
      </c>
      <c r="E244" s="7" t="s">
        <v>119</v>
      </c>
      <c r="F244" s="5" t="s">
        <v>22</v>
      </c>
      <c r="G244" s="8">
        <f t="shared" si="17"/>
        <v>1</v>
      </c>
      <c r="H244" s="9" t="s">
        <v>95</v>
      </c>
      <c r="I244" s="9">
        <f t="shared" si="15"/>
        <v>0.5</v>
      </c>
      <c r="J244" s="9">
        <f t="shared" si="16"/>
        <v>0.75</v>
      </c>
    </row>
    <row r="245" ht="54">
      <c r="A245" s="16" t="s">
        <v>32</v>
      </c>
      <c r="B245" s="6" t="s">
        <v>108</v>
      </c>
      <c r="C245" s="7" t="s">
        <v>115</v>
      </c>
      <c r="D245" s="7" t="s">
        <v>116</v>
      </c>
      <c r="E245" s="7" t="s">
        <v>120</v>
      </c>
      <c r="F245" s="5" t="s">
        <v>22</v>
      </c>
      <c r="G245" s="8">
        <f t="shared" si="17"/>
        <v>1</v>
      </c>
      <c r="H245" s="9" t="s">
        <v>95</v>
      </c>
      <c r="I245" s="9">
        <f t="shared" si="15"/>
        <v>0.5</v>
      </c>
      <c r="J245" s="9">
        <f t="shared" si="16"/>
        <v>0.75</v>
      </c>
    </row>
    <row r="246" ht="54">
      <c r="A246" s="16" t="s">
        <v>32</v>
      </c>
      <c r="B246" s="17" t="s">
        <v>108</v>
      </c>
      <c r="C246" s="7" t="s">
        <v>121</v>
      </c>
      <c r="D246" s="7" t="s">
        <v>122</v>
      </c>
      <c r="E246" s="7" t="s">
        <v>123</v>
      </c>
      <c r="F246" s="5" t="s">
        <v>22</v>
      </c>
      <c r="G246" s="8">
        <f t="shared" si="17"/>
        <v>1</v>
      </c>
      <c r="H246" s="9" t="s">
        <v>95</v>
      </c>
      <c r="I246" s="9">
        <f t="shared" si="15"/>
        <v>0.5</v>
      </c>
      <c r="J246" s="9">
        <f t="shared" si="16"/>
        <v>0.75</v>
      </c>
    </row>
    <row r="247" ht="72">
      <c r="A247" s="16" t="s">
        <v>32</v>
      </c>
      <c r="B247" s="6" t="s">
        <v>108</v>
      </c>
      <c r="C247" s="7" t="s">
        <v>121</v>
      </c>
      <c r="D247" s="7" t="s">
        <v>122</v>
      </c>
      <c r="E247" s="7" t="s">
        <v>124</v>
      </c>
      <c r="F247" s="5" t="s">
        <v>22</v>
      </c>
      <c r="G247" s="8">
        <f t="shared" si="17"/>
        <v>1</v>
      </c>
      <c r="H247" s="9" t="s">
        <v>70</v>
      </c>
      <c r="I247" s="9">
        <f t="shared" si="15"/>
        <v>0.5</v>
      </c>
      <c r="J247" s="9">
        <f t="shared" si="16"/>
        <v>0.75</v>
      </c>
    </row>
    <row r="248" ht="54">
      <c r="A248" s="16" t="s">
        <v>32</v>
      </c>
      <c r="B248" s="17" t="s">
        <v>108</v>
      </c>
      <c r="C248" s="7" t="s">
        <v>121</v>
      </c>
      <c r="D248" s="7" t="s">
        <v>122</v>
      </c>
      <c r="E248" s="7" t="s">
        <v>125</v>
      </c>
      <c r="F248" s="5" t="s">
        <v>22</v>
      </c>
      <c r="G248" s="8">
        <f t="shared" si="17"/>
        <v>1</v>
      </c>
      <c r="H248" s="9" t="s">
        <v>24</v>
      </c>
      <c r="I248" s="9">
        <f t="shared" si="15"/>
        <v>1</v>
      </c>
      <c r="J248" s="9">
        <f t="shared" si="16"/>
        <v>1</v>
      </c>
    </row>
    <row r="249" ht="54">
      <c r="A249" s="16" t="s">
        <v>32</v>
      </c>
      <c r="B249" s="6" t="s">
        <v>108</v>
      </c>
      <c r="C249" s="7" t="s">
        <v>121</v>
      </c>
      <c r="D249" s="7" t="s">
        <v>122</v>
      </c>
      <c r="E249" s="7" t="s">
        <v>126</v>
      </c>
      <c r="F249" s="5" t="s">
        <v>53</v>
      </c>
      <c r="G249" s="8">
        <f t="shared" si="17"/>
        <v>0</v>
      </c>
      <c r="H249" s="9" t="s">
        <v>74</v>
      </c>
      <c r="I249" s="9">
        <f t="shared" si="15"/>
        <v>0</v>
      </c>
      <c r="J249" s="9">
        <f t="shared" si="16"/>
        <v>0</v>
      </c>
    </row>
    <row r="250" ht="72">
      <c r="A250" s="16" t="s">
        <v>32</v>
      </c>
      <c r="B250" s="17" t="s">
        <v>108</v>
      </c>
      <c r="C250" s="7" t="s">
        <v>127</v>
      </c>
      <c r="D250" s="7" t="s">
        <v>128</v>
      </c>
      <c r="E250" s="7" t="s">
        <v>129</v>
      </c>
      <c r="F250" s="5" t="s">
        <v>22</v>
      </c>
      <c r="G250" s="8">
        <f t="shared" si="17"/>
        <v>1</v>
      </c>
      <c r="H250" s="9" t="s">
        <v>24</v>
      </c>
      <c r="I250" s="9">
        <f t="shared" si="15"/>
        <v>1</v>
      </c>
      <c r="J250" s="9">
        <f t="shared" si="16"/>
        <v>1</v>
      </c>
    </row>
    <row r="251" ht="90">
      <c r="A251" s="16" t="s">
        <v>32</v>
      </c>
      <c r="B251" s="6" t="s">
        <v>108</v>
      </c>
      <c r="C251" s="7" t="s">
        <v>127</v>
      </c>
      <c r="D251" s="7" t="s">
        <v>128</v>
      </c>
      <c r="E251" s="7" t="s">
        <v>130</v>
      </c>
      <c r="F251" s="5" t="s">
        <v>22</v>
      </c>
      <c r="G251" s="8">
        <f t="shared" si="17"/>
        <v>1</v>
      </c>
      <c r="H251" s="9" t="s">
        <v>95</v>
      </c>
      <c r="I251" s="9">
        <f t="shared" si="15"/>
        <v>0.5</v>
      </c>
      <c r="J251" s="9">
        <f t="shared" si="16"/>
        <v>0.75</v>
      </c>
    </row>
    <row r="252" ht="54">
      <c r="A252" s="16" t="s">
        <v>32</v>
      </c>
      <c r="B252" s="17" t="s">
        <v>108</v>
      </c>
      <c r="C252" s="7" t="s">
        <v>127</v>
      </c>
      <c r="D252" s="7" t="s">
        <v>128</v>
      </c>
      <c r="E252" s="7" t="s">
        <v>131</v>
      </c>
      <c r="F252" s="5" t="s">
        <v>22</v>
      </c>
      <c r="G252" s="8">
        <f t="shared" si="17"/>
        <v>1</v>
      </c>
      <c r="H252" s="9" t="s">
        <v>24</v>
      </c>
      <c r="I252" s="9">
        <f t="shared" si="15"/>
        <v>1</v>
      </c>
      <c r="J252" s="9">
        <f t="shared" si="16"/>
        <v>1</v>
      </c>
    </row>
    <row r="253" ht="72">
      <c r="A253" s="16" t="s">
        <v>32</v>
      </c>
      <c r="B253" s="6" t="s">
        <v>108</v>
      </c>
      <c r="C253" s="7" t="s">
        <v>127</v>
      </c>
      <c r="D253" s="7" t="s">
        <v>128</v>
      </c>
      <c r="E253" s="7" t="s">
        <v>132</v>
      </c>
      <c r="F253" s="5" t="s">
        <v>53</v>
      </c>
      <c r="G253" s="8">
        <f t="shared" si="17"/>
        <v>0</v>
      </c>
      <c r="H253" s="9" t="s">
        <v>74</v>
      </c>
      <c r="I253" s="9">
        <f t="shared" si="15"/>
        <v>0</v>
      </c>
      <c r="J253" s="9">
        <f t="shared" si="16"/>
        <v>0</v>
      </c>
    </row>
    <row r="254" ht="90">
      <c r="A254" s="16" t="s">
        <v>32</v>
      </c>
      <c r="B254" s="17" t="s">
        <v>108</v>
      </c>
      <c r="C254" s="7" t="s">
        <v>133</v>
      </c>
      <c r="D254" s="7" t="s">
        <v>134</v>
      </c>
      <c r="E254" s="7" t="s">
        <v>135</v>
      </c>
      <c r="F254" s="5" t="s">
        <v>22</v>
      </c>
      <c r="G254" s="8">
        <f t="shared" si="17"/>
        <v>1</v>
      </c>
      <c r="H254" s="9" t="s">
        <v>95</v>
      </c>
      <c r="I254" s="9">
        <f t="shared" si="15"/>
        <v>0.5</v>
      </c>
      <c r="J254" s="9">
        <f t="shared" si="16"/>
        <v>0.75</v>
      </c>
    </row>
    <row r="255" ht="90">
      <c r="A255" s="16" t="s">
        <v>32</v>
      </c>
      <c r="B255" s="6" t="s">
        <v>108</v>
      </c>
      <c r="C255" s="7" t="s">
        <v>133</v>
      </c>
      <c r="D255" s="7" t="s">
        <v>134</v>
      </c>
      <c r="E255" s="7" t="s">
        <v>136</v>
      </c>
      <c r="F255" s="5" t="s">
        <v>53</v>
      </c>
      <c r="G255" s="8">
        <f t="shared" si="17"/>
        <v>0</v>
      </c>
      <c r="H255" s="9" t="s">
        <v>74</v>
      </c>
      <c r="I255" s="9">
        <f t="shared" si="15"/>
        <v>0</v>
      </c>
      <c r="J255" s="9">
        <f t="shared" si="16"/>
        <v>0</v>
      </c>
    </row>
    <row r="256" ht="72">
      <c r="A256" s="16" t="s">
        <v>32</v>
      </c>
      <c r="B256" s="17" t="s">
        <v>108</v>
      </c>
      <c r="C256" s="7" t="s">
        <v>133</v>
      </c>
      <c r="D256" s="7" t="s">
        <v>134</v>
      </c>
      <c r="E256" s="7" t="s">
        <v>137</v>
      </c>
      <c r="F256" s="5" t="s">
        <v>53</v>
      </c>
      <c r="G256" s="8">
        <f t="shared" si="17"/>
        <v>0</v>
      </c>
      <c r="H256" s="13" t="s">
        <v>53</v>
      </c>
      <c r="I256" s="9">
        <f t="shared" si="15"/>
        <v>0</v>
      </c>
      <c r="J256" s="9">
        <f t="shared" si="16"/>
        <v>0</v>
      </c>
    </row>
    <row r="257" ht="72">
      <c r="A257" s="16" t="s">
        <v>32</v>
      </c>
      <c r="B257" s="6" t="s">
        <v>108</v>
      </c>
      <c r="C257" s="7" t="s">
        <v>133</v>
      </c>
      <c r="D257" s="7" t="s">
        <v>134</v>
      </c>
      <c r="E257" s="7" t="s">
        <v>138</v>
      </c>
      <c r="F257" s="5" t="s">
        <v>22</v>
      </c>
      <c r="G257" s="8">
        <f t="shared" si="17"/>
        <v>1</v>
      </c>
      <c r="H257" s="9" t="s">
        <v>95</v>
      </c>
      <c r="I257" s="9">
        <f t="shared" si="15"/>
        <v>0.5</v>
      </c>
      <c r="J257" s="9">
        <f t="shared" si="16"/>
        <v>0.75</v>
      </c>
    </row>
    <row r="258" ht="36">
      <c r="A258" s="16" t="s">
        <v>36</v>
      </c>
      <c r="B258" s="17" t="s">
        <v>18</v>
      </c>
      <c r="C258" s="7" t="s">
        <v>139</v>
      </c>
      <c r="D258" s="6" t="s">
        <v>20</v>
      </c>
      <c r="E258" s="7" t="s">
        <v>21</v>
      </c>
      <c r="F258" s="5" t="s">
        <v>22</v>
      </c>
      <c r="G258" s="8">
        <f t="shared" si="17"/>
        <v>1</v>
      </c>
      <c r="H258" s="9" t="s">
        <v>24</v>
      </c>
      <c r="I258" s="9">
        <f t="shared" ref="I258:I321" si="18">IF(H258="Cumple",1,IF(H258="Cumple Parcialmente",0.5,IF(H258="No Cumple",0,"")))</f>
        <v>1</v>
      </c>
      <c r="J258" s="9">
        <f t="shared" si="16"/>
        <v>1</v>
      </c>
    </row>
    <row r="259" ht="36">
      <c r="A259" s="16" t="s">
        <v>36</v>
      </c>
      <c r="B259" s="6" t="s">
        <v>18</v>
      </c>
      <c r="C259" s="7" t="s">
        <v>139</v>
      </c>
      <c r="D259" s="6" t="s">
        <v>20</v>
      </c>
      <c r="E259" s="7" t="s">
        <v>23</v>
      </c>
      <c r="F259" s="5" t="s">
        <v>22</v>
      </c>
      <c r="G259" s="8">
        <f t="shared" si="17"/>
        <v>1</v>
      </c>
      <c r="H259" s="9" t="s">
        <v>24</v>
      </c>
      <c r="I259" s="9">
        <f t="shared" si="18"/>
        <v>1</v>
      </c>
      <c r="J259" s="9">
        <f t="shared" ref="J259:J322" si="19">AVERAGE(G259,I259)</f>
        <v>1</v>
      </c>
    </row>
    <row r="260" ht="54">
      <c r="A260" s="16" t="s">
        <v>36</v>
      </c>
      <c r="B260" s="17" t="s">
        <v>18</v>
      </c>
      <c r="C260" s="7" t="s">
        <v>26</v>
      </c>
      <c r="D260" s="7" t="s">
        <v>27</v>
      </c>
      <c r="E260" s="7" t="s">
        <v>28</v>
      </c>
      <c r="F260" s="5" t="s">
        <v>70</v>
      </c>
      <c r="G260" s="8">
        <f t="shared" ref="G260:G323" si="20">IF(F260="Cumple",1,IF(F260="Cumple Parcialmente",0.5,IF(F260="No Cumple",0,"")))</f>
        <v>0.5</v>
      </c>
      <c r="H260" s="9" t="s">
        <v>95</v>
      </c>
      <c r="I260" s="9">
        <f t="shared" si="18"/>
        <v>0.5</v>
      </c>
      <c r="J260" s="9">
        <f t="shared" si="19"/>
        <v>0.5</v>
      </c>
    </row>
    <row r="261" ht="54">
      <c r="A261" s="16" t="s">
        <v>36</v>
      </c>
      <c r="B261" s="6" t="s">
        <v>18</v>
      </c>
      <c r="C261" s="7" t="s">
        <v>26</v>
      </c>
      <c r="D261" s="7" t="s">
        <v>27</v>
      </c>
      <c r="E261" s="7" t="s">
        <v>30</v>
      </c>
      <c r="F261" s="5" t="s">
        <v>22</v>
      </c>
      <c r="G261" s="8">
        <f t="shared" si="20"/>
        <v>1</v>
      </c>
      <c r="H261" s="9" t="s">
        <v>24</v>
      </c>
      <c r="I261" s="9">
        <f t="shared" si="18"/>
        <v>1</v>
      </c>
      <c r="J261" s="9">
        <f t="shared" si="19"/>
        <v>1</v>
      </c>
    </row>
    <row r="262" ht="54">
      <c r="A262" s="16" t="s">
        <v>36</v>
      </c>
      <c r="B262" s="17" t="s">
        <v>18</v>
      </c>
      <c r="C262" s="7" t="s">
        <v>33</v>
      </c>
      <c r="D262" s="7" t="s">
        <v>34</v>
      </c>
      <c r="E262" s="7" t="s">
        <v>35</v>
      </c>
      <c r="F262" s="5" t="s">
        <v>22</v>
      </c>
      <c r="G262" s="8">
        <f t="shared" si="20"/>
        <v>1</v>
      </c>
      <c r="H262" s="9" t="s">
        <v>24</v>
      </c>
      <c r="I262" s="9">
        <f t="shared" si="18"/>
        <v>1</v>
      </c>
      <c r="J262" s="9">
        <f t="shared" si="19"/>
        <v>1</v>
      </c>
    </row>
    <row r="263" ht="36">
      <c r="A263" s="16" t="s">
        <v>36</v>
      </c>
      <c r="B263" s="6" t="s">
        <v>18</v>
      </c>
      <c r="C263" s="7" t="s">
        <v>33</v>
      </c>
      <c r="D263" s="7" t="s">
        <v>34</v>
      </c>
      <c r="E263" s="7" t="s">
        <v>37</v>
      </c>
      <c r="F263" s="5" t="s">
        <v>22</v>
      </c>
      <c r="G263" s="8">
        <f t="shared" si="20"/>
        <v>1</v>
      </c>
      <c r="H263" s="9" t="s">
        <v>24</v>
      </c>
      <c r="I263" s="9">
        <f t="shared" si="18"/>
        <v>1</v>
      </c>
      <c r="J263" s="9">
        <f t="shared" si="19"/>
        <v>1</v>
      </c>
    </row>
    <row r="264" ht="54">
      <c r="A264" s="16" t="s">
        <v>36</v>
      </c>
      <c r="B264" s="17" t="s">
        <v>18</v>
      </c>
      <c r="C264" s="7" t="s">
        <v>39</v>
      </c>
      <c r="D264" s="7" t="s">
        <v>40</v>
      </c>
      <c r="E264" s="7" t="s">
        <v>41</v>
      </c>
      <c r="F264" s="5" t="s">
        <v>22</v>
      </c>
      <c r="G264" s="8">
        <f t="shared" si="20"/>
        <v>1</v>
      </c>
      <c r="H264" s="9" t="s">
        <v>24</v>
      </c>
      <c r="I264" s="9">
        <f t="shared" si="18"/>
        <v>1</v>
      </c>
      <c r="J264" s="9">
        <f t="shared" si="19"/>
        <v>1</v>
      </c>
    </row>
    <row r="265" ht="54">
      <c r="A265" s="16" t="s">
        <v>36</v>
      </c>
      <c r="B265" s="6" t="s">
        <v>18</v>
      </c>
      <c r="C265" s="7" t="s">
        <v>39</v>
      </c>
      <c r="D265" s="7" t="s">
        <v>40</v>
      </c>
      <c r="E265" s="7" t="s">
        <v>43</v>
      </c>
      <c r="F265" s="5" t="s">
        <v>22</v>
      </c>
      <c r="G265" s="8">
        <f t="shared" si="20"/>
        <v>1</v>
      </c>
      <c r="H265" s="9" t="s">
        <v>95</v>
      </c>
      <c r="I265" s="9">
        <f t="shared" si="18"/>
        <v>0.5</v>
      </c>
      <c r="J265" s="9">
        <f t="shared" si="19"/>
        <v>0.75</v>
      </c>
    </row>
    <row r="266" ht="72">
      <c r="A266" s="16" t="s">
        <v>36</v>
      </c>
      <c r="B266" s="17" t="s">
        <v>18</v>
      </c>
      <c r="C266" s="7" t="s">
        <v>44</v>
      </c>
      <c r="D266" s="7" t="s">
        <v>45</v>
      </c>
      <c r="E266" s="7" t="s">
        <v>46</v>
      </c>
      <c r="F266" s="5" t="s">
        <v>22</v>
      </c>
      <c r="G266" s="8">
        <f t="shared" si="20"/>
        <v>1</v>
      </c>
      <c r="H266" s="9" t="s">
        <v>24</v>
      </c>
      <c r="I266" s="9">
        <f t="shared" si="18"/>
        <v>1</v>
      </c>
      <c r="J266" s="9">
        <f t="shared" si="19"/>
        <v>1</v>
      </c>
    </row>
    <row r="267" ht="72">
      <c r="A267" s="16" t="s">
        <v>36</v>
      </c>
      <c r="B267" s="6" t="s">
        <v>18</v>
      </c>
      <c r="C267" s="7" t="s">
        <v>44</v>
      </c>
      <c r="D267" s="7" t="s">
        <v>45</v>
      </c>
      <c r="E267" s="7" t="s">
        <v>47</v>
      </c>
      <c r="F267" s="5" t="s">
        <v>22</v>
      </c>
      <c r="G267" s="8">
        <f t="shared" si="20"/>
        <v>1</v>
      </c>
      <c r="H267" s="9" t="s">
        <v>24</v>
      </c>
      <c r="I267" s="9">
        <f t="shared" si="18"/>
        <v>1</v>
      </c>
      <c r="J267" s="9">
        <f t="shared" si="19"/>
        <v>1</v>
      </c>
    </row>
    <row r="268" ht="54">
      <c r="A268" s="16" t="s">
        <v>36</v>
      </c>
      <c r="B268" s="18" t="s">
        <v>48</v>
      </c>
      <c r="C268" s="7" t="s">
        <v>49</v>
      </c>
      <c r="D268" s="7" t="s">
        <v>50</v>
      </c>
      <c r="E268" s="7" t="s">
        <v>51</v>
      </c>
      <c r="F268" s="5" t="s">
        <v>22</v>
      </c>
      <c r="G268" s="8">
        <f t="shared" si="20"/>
        <v>1</v>
      </c>
      <c r="H268" s="9" t="s">
        <v>24</v>
      </c>
      <c r="I268" s="9">
        <f t="shared" si="18"/>
        <v>1</v>
      </c>
      <c r="J268" s="9">
        <f t="shared" si="19"/>
        <v>1</v>
      </c>
    </row>
    <row r="269" ht="54">
      <c r="A269" s="16" t="s">
        <v>36</v>
      </c>
      <c r="B269" s="15" t="s">
        <v>48</v>
      </c>
      <c r="C269" s="7" t="s">
        <v>49</v>
      </c>
      <c r="D269" s="7" t="s">
        <v>50</v>
      </c>
      <c r="E269" s="7" t="s">
        <v>52</v>
      </c>
      <c r="F269" s="5" t="s">
        <v>53</v>
      </c>
      <c r="G269" s="8">
        <f t="shared" si="20"/>
        <v>0</v>
      </c>
      <c r="H269" s="13" t="s">
        <v>53</v>
      </c>
      <c r="I269" s="9">
        <f t="shared" si="18"/>
        <v>0</v>
      </c>
      <c r="J269" s="9">
        <f t="shared" si="19"/>
        <v>0</v>
      </c>
    </row>
    <row r="270" ht="54">
      <c r="A270" s="16" t="s">
        <v>36</v>
      </c>
      <c r="B270" s="18" t="s">
        <v>48</v>
      </c>
      <c r="C270" s="7" t="s">
        <v>49</v>
      </c>
      <c r="D270" s="7" t="s">
        <v>50</v>
      </c>
      <c r="E270" s="7" t="s">
        <v>54</v>
      </c>
      <c r="F270" s="5" t="s">
        <v>53</v>
      </c>
      <c r="G270" s="8">
        <f t="shared" si="20"/>
        <v>0</v>
      </c>
      <c r="H270" s="9" t="s">
        <v>74</v>
      </c>
      <c r="I270" s="9">
        <f t="shared" si="18"/>
        <v>0</v>
      </c>
      <c r="J270" s="9">
        <f t="shared" si="19"/>
        <v>0</v>
      </c>
    </row>
    <row r="271" ht="54">
      <c r="A271" s="16" t="s">
        <v>36</v>
      </c>
      <c r="B271" s="15" t="s">
        <v>48</v>
      </c>
      <c r="C271" s="7" t="s">
        <v>49</v>
      </c>
      <c r="D271" s="7" t="s">
        <v>50</v>
      </c>
      <c r="E271" s="7" t="s">
        <v>55</v>
      </c>
      <c r="F271" s="5" t="s">
        <v>53</v>
      </c>
      <c r="G271" s="8">
        <f t="shared" si="20"/>
        <v>0</v>
      </c>
      <c r="H271" s="13" t="s">
        <v>53</v>
      </c>
      <c r="I271" s="9">
        <f t="shared" si="18"/>
        <v>0</v>
      </c>
      <c r="J271" s="9">
        <f t="shared" si="19"/>
        <v>0</v>
      </c>
    </row>
    <row r="272" ht="72">
      <c r="A272" s="16" t="s">
        <v>36</v>
      </c>
      <c r="B272" s="18" t="s">
        <v>48</v>
      </c>
      <c r="C272" s="7" t="s">
        <v>56</v>
      </c>
      <c r="D272" s="7" t="s">
        <v>57</v>
      </c>
      <c r="E272" s="7" t="s">
        <v>58</v>
      </c>
      <c r="F272" s="5" t="s">
        <v>22</v>
      </c>
      <c r="G272" s="8">
        <f t="shared" si="20"/>
        <v>1</v>
      </c>
      <c r="H272" s="9" t="s">
        <v>95</v>
      </c>
      <c r="I272" s="9">
        <f t="shared" si="18"/>
        <v>0.5</v>
      </c>
      <c r="J272" s="9">
        <f t="shared" si="19"/>
        <v>0.75</v>
      </c>
    </row>
    <row r="273" ht="72">
      <c r="A273" s="16" t="s">
        <v>36</v>
      </c>
      <c r="B273" s="15" t="s">
        <v>48</v>
      </c>
      <c r="C273" s="7" t="s">
        <v>56</v>
      </c>
      <c r="D273" s="7" t="s">
        <v>57</v>
      </c>
      <c r="E273" s="7" t="s">
        <v>59</v>
      </c>
      <c r="F273" s="5" t="s">
        <v>22</v>
      </c>
      <c r="G273" s="8">
        <f t="shared" si="20"/>
        <v>1</v>
      </c>
      <c r="H273" s="9" t="s">
        <v>24</v>
      </c>
      <c r="I273" s="9">
        <f t="shared" si="18"/>
        <v>1</v>
      </c>
      <c r="J273" s="9">
        <f t="shared" si="19"/>
        <v>1</v>
      </c>
    </row>
    <row r="274" ht="54">
      <c r="A274" s="16" t="s">
        <v>36</v>
      </c>
      <c r="B274" s="18" t="s">
        <v>48</v>
      </c>
      <c r="C274" s="7" t="s">
        <v>60</v>
      </c>
      <c r="D274" s="7" t="s">
        <v>61</v>
      </c>
      <c r="E274" s="7" t="s">
        <v>62</v>
      </c>
      <c r="F274" s="5" t="s">
        <v>22</v>
      </c>
      <c r="G274" s="8">
        <f t="shared" si="20"/>
        <v>1</v>
      </c>
      <c r="H274" s="9" t="s">
        <v>24</v>
      </c>
      <c r="I274" s="9">
        <f t="shared" si="18"/>
        <v>1</v>
      </c>
      <c r="J274" s="9">
        <f t="shared" si="19"/>
        <v>1</v>
      </c>
    </row>
    <row r="275" ht="90">
      <c r="A275" s="16" t="s">
        <v>36</v>
      </c>
      <c r="B275" s="15" t="s">
        <v>48</v>
      </c>
      <c r="C275" s="7" t="s">
        <v>60</v>
      </c>
      <c r="D275" s="7" t="s">
        <v>61</v>
      </c>
      <c r="E275" s="7" t="s">
        <v>63</v>
      </c>
      <c r="F275" s="5" t="s">
        <v>22</v>
      </c>
      <c r="G275" s="8">
        <f t="shared" si="20"/>
        <v>1</v>
      </c>
      <c r="H275" s="9" t="s">
        <v>95</v>
      </c>
      <c r="I275" s="9">
        <f t="shared" si="18"/>
        <v>0.5</v>
      </c>
      <c r="J275" s="9">
        <f t="shared" si="19"/>
        <v>0.75</v>
      </c>
    </row>
    <row r="276" ht="54">
      <c r="A276" s="16" t="s">
        <v>36</v>
      </c>
      <c r="B276" s="18" t="s">
        <v>48</v>
      </c>
      <c r="C276" s="7" t="s">
        <v>60</v>
      </c>
      <c r="D276" s="7" t="s">
        <v>61</v>
      </c>
      <c r="E276" s="7" t="s">
        <v>64</v>
      </c>
      <c r="F276" s="5" t="s">
        <v>22</v>
      </c>
      <c r="G276" s="8">
        <f t="shared" si="20"/>
        <v>1</v>
      </c>
      <c r="H276" s="9" t="s">
        <v>24</v>
      </c>
      <c r="I276" s="9">
        <f t="shared" si="18"/>
        <v>1</v>
      </c>
      <c r="J276" s="9">
        <f t="shared" si="19"/>
        <v>1</v>
      </c>
    </row>
    <row r="277" ht="54">
      <c r="A277" s="16" t="s">
        <v>36</v>
      </c>
      <c r="B277" s="15" t="s">
        <v>48</v>
      </c>
      <c r="C277" s="7" t="s">
        <v>65</v>
      </c>
      <c r="D277" s="7" t="s">
        <v>66</v>
      </c>
      <c r="E277" s="7" t="s">
        <v>67</v>
      </c>
      <c r="F277" s="5" t="s">
        <v>53</v>
      </c>
      <c r="G277" s="8">
        <f t="shared" si="20"/>
        <v>0</v>
      </c>
      <c r="H277" s="13" t="s">
        <v>53</v>
      </c>
      <c r="I277" s="9">
        <f t="shared" si="18"/>
        <v>0</v>
      </c>
      <c r="J277" s="9">
        <f t="shared" si="19"/>
        <v>0</v>
      </c>
    </row>
    <row r="278" ht="72">
      <c r="A278" s="16" t="s">
        <v>36</v>
      </c>
      <c r="B278" s="18" t="s">
        <v>48</v>
      </c>
      <c r="C278" s="7" t="s">
        <v>65</v>
      </c>
      <c r="D278" s="7" t="s">
        <v>66</v>
      </c>
      <c r="E278" s="7" t="s">
        <v>68</v>
      </c>
      <c r="F278" s="5" t="s">
        <v>22</v>
      </c>
      <c r="G278" s="8">
        <f t="shared" si="20"/>
        <v>1</v>
      </c>
      <c r="H278" s="9" t="s">
        <v>24</v>
      </c>
      <c r="I278" s="9">
        <f t="shared" si="18"/>
        <v>1</v>
      </c>
      <c r="J278" s="9">
        <f t="shared" si="19"/>
        <v>1</v>
      </c>
    </row>
    <row r="279" ht="54">
      <c r="A279" s="16" t="s">
        <v>36</v>
      </c>
      <c r="B279" s="15" t="s">
        <v>48</v>
      </c>
      <c r="C279" s="7" t="s">
        <v>65</v>
      </c>
      <c r="D279" s="7" t="s">
        <v>66</v>
      </c>
      <c r="E279" s="7" t="s">
        <v>69</v>
      </c>
      <c r="F279" s="5" t="s">
        <v>22</v>
      </c>
      <c r="G279" s="8">
        <f t="shared" si="20"/>
        <v>1</v>
      </c>
      <c r="H279" s="9" t="s">
        <v>24</v>
      </c>
      <c r="I279" s="9">
        <f t="shared" si="18"/>
        <v>1</v>
      </c>
      <c r="J279" s="9">
        <f t="shared" si="19"/>
        <v>1</v>
      </c>
    </row>
    <row r="280" ht="72">
      <c r="A280" s="16" t="s">
        <v>36</v>
      </c>
      <c r="B280" s="18" t="s">
        <v>48</v>
      </c>
      <c r="C280" s="7" t="s">
        <v>71</v>
      </c>
      <c r="D280" s="7" t="s">
        <v>72</v>
      </c>
      <c r="E280" s="7" t="s">
        <v>73</v>
      </c>
      <c r="F280" s="5" t="s">
        <v>22</v>
      </c>
      <c r="G280" s="8">
        <f t="shared" si="20"/>
        <v>1</v>
      </c>
      <c r="H280" s="9" t="s">
        <v>24</v>
      </c>
      <c r="I280" s="9">
        <f t="shared" si="18"/>
        <v>1</v>
      </c>
      <c r="J280" s="9">
        <f t="shared" si="19"/>
        <v>1</v>
      </c>
    </row>
    <row r="281" ht="72">
      <c r="A281" s="16" t="s">
        <v>36</v>
      </c>
      <c r="B281" s="15" t="s">
        <v>48</v>
      </c>
      <c r="C281" s="7" t="s">
        <v>71</v>
      </c>
      <c r="D281" s="7" t="s">
        <v>72</v>
      </c>
      <c r="E281" s="7" t="s">
        <v>75</v>
      </c>
      <c r="F281" s="5" t="s">
        <v>22</v>
      </c>
      <c r="G281" s="8">
        <f t="shared" si="20"/>
        <v>1</v>
      </c>
      <c r="H281" s="9" t="s">
        <v>24</v>
      </c>
      <c r="I281" s="9">
        <f t="shared" si="18"/>
        <v>1</v>
      </c>
      <c r="J281" s="9">
        <f t="shared" si="19"/>
        <v>1</v>
      </c>
    </row>
    <row r="282" ht="72">
      <c r="A282" s="16" t="s">
        <v>36</v>
      </c>
      <c r="B282" s="18" t="s">
        <v>48</v>
      </c>
      <c r="C282" s="7" t="s">
        <v>71</v>
      </c>
      <c r="D282" s="7" t="s">
        <v>72</v>
      </c>
      <c r="E282" s="7" t="s">
        <v>76</v>
      </c>
      <c r="F282" s="5" t="s">
        <v>22</v>
      </c>
      <c r="G282" s="8">
        <f t="shared" si="20"/>
        <v>1</v>
      </c>
      <c r="H282" s="9" t="s">
        <v>24</v>
      </c>
      <c r="I282" s="9">
        <f t="shared" si="18"/>
        <v>1</v>
      </c>
      <c r="J282" s="9">
        <f t="shared" si="19"/>
        <v>1</v>
      </c>
    </row>
    <row r="283" ht="72">
      <c r="A283" s="16" t="s">
        <v>36</v>
      </c>
      <c r="B283" s="15" t="s">
        <v>48</v>
      </c>
      <c r="C283" s="7" t="s">
        <v>71</v>
      </c>
      <c r="D283" s="7" t="s">
        <v>72</v>
      </c>
      <c r="E283" s="7" t="s">
        <v>77</v>
      </c>
      <c r="F283" s="5" t="s">
        <v>22</v>
      </c>
      <c r="G283" s="8">
        <f t="shared" si="20"/>
        <v>1</v>
      </c>
      <c r="H283" s="9" t="s">
        <v>24</v>
      </c>
      <c r="I283" s="9">
        <f t="shared" si="18"/>
        <v>1</v>
      </c>
      <c r="J283" s="9">
        <f t="shared" si="19"/>
        <v>1</v>
      </c>
    </row>
    <row r="284" ht="54">
      <c r="A284" s="16" t="s">
        <v>36</v>
      </c>
      <c r="B284" s="18" t="s">
        <v>48</v>
      </c>
      <c r="C284" s="7" t="s">
        <v>78</v>
      </c>
      <c r="D284" s="7" t="s">
        <v>79</v>
      </c>
      <c r="E284" s="7" t="s">
        <v>80</v>
      </c>
      <c r="F284" s="5" t="s">
        <v>22</v>
      </c>
      <c r="G284" s="8">
        <f t="shared" si="20"/>
        <v>1</v>
      </c>
      <c r="H284" s="9" t="s">
        <v>24</v>
      </c>
      <c r="I284" s="9">
        <f t="shared" si="18"/>
        <v>1</v>
      </c>
      <c r="J284" s="9">
        <f t="shared" si="19"/>
        <v>1</v>
      </c>
    </row>
    <row r="285" ht="54">
      <c r="A285" s="16" t="s">
        <v>36</v>
      </c>
      <c r="B285" s="15" t="s">
        <v>48</v>
      </c>
      <c r="C285" s="7" t="s">
        <v>78</v>
      </c>
      <c r="D285" s="7" t="s">
        <v>79</v>
      </c>
      <c r="E285" s="7" t="s">
        <v>81</v>
      </c>
      <c r="F285" s="5" t="s">
        <v>53</v>
      </c>
      <c r="G285" s="8">
        <f t="shared" si="20"/>
        <v>0</v>
      </c>
      <c r="H285" s="9" t="s">
        <v>74</v>
      </c>
      <c r="I285" s="9">
        <f t="shared" si="18"/>
        <v>0</v>
      </c>
      <c r="J285" s="9">
        <f t="shared" si="19"/>
        <v>0</v>
      </c>
    </row>
    <row r="286" ht="54">
      <c r="A286" s="16" t="s">
        <v>36</v>
      </c>
      <c r="B286" s="18" t="s">
        <v>48</v>
      </c>
      <c r="C286" s="7" t="s">
        <v>78</v>
      </c>
      <c r="D286" s="7" t="s">
        <v>79</v>
      </c>
      <c r="E286" s="7" t="s">
        <v>82</v>
      </c>
      <c r="F286" s="5" t="s">
        <v>53</v>
      </c>
      <c r="G286" s="8">
        <f t="shared" si="20"/>
        <v>0</v>
      </c>
      <c r="H286" s="9" t="s">
        <v>74</v>
      </c>
      <c r="I286" s="9">
        <f t="shared" si="18"/>
        <v>0</v>
      </c>
      <c r="J286" s="9">
        <f t="shared" si="19"/>
        <v>0</v>
      </c>
    </row>
    <row r="287" ht="72">
      <c r="A287" s="16" t="s">
        <v>36</v>
      </c>
      <c r="B287" s="15" t="s">
        <v>83</v>
      </c>
      <c r="C287" s="7" t="s">
        <v>84</v>
      </c>
      <c r="D287" s="7" t="s">
        <v>85</v>
      </c>
      <c r="E287" s="7" t="s">
        <v>86</v>
      </c>
      <c r="F287" s="5" t="s">
        <v>22</v>
      </c>
      <c r="G287" s="8">
        <f t="shared" si="20"/>
        <v>1</v>
      </c>
      <c r="H287" s="9" t="s">
        <v>95</v>
      </c>
      <c r="I287" s="9">
        <f t="shared" si="18"/>
        <v>0.5</v>
      </c>
      <c r="J287" s="9">
        <f t="shared" si="19"/>
        <v>0.75</v>
      </c>
    </row>
    <row r="288" ht="72">
      <c r="A288" s="16" t="s">
        <v>36</v>
      </c>
      <c r="B288" s="18" t="s">
        <v>83</v>
      </c>
      <c r="C288" s="7" t="s">
        <v>84</v>
      </c>
      <c r="D288" s="7" t="s">
        <v>85</v>
      </c>
      <c r="E288" s="7" t="s">
        <v>87</v>
      </c>
      <c r="F288" s="5" t="s">
        <v>53</v>
      </c>
      <c r="G288" s="8">
        <f t="shared" si="20"/>
        <v>0</v>
      </c>
      <c r="H288" s="9" t="s">
        <v>74</v>
      </c>
      <c r="I288" s="9">
        <f t="shared" si="18"/>
        <v>0</v>
      </c>
      <c r="J288" s="9">
        <f t="shared" si="19"/>
        <v>0</v>
      </c>
    </row>
    <row r="289" ht="72">
      <c r="A289" s="16" t="s">
        <v>36</v>
      </c>
      <c r="B289" s="15" t="s">
        <v>83</v>
      </c>
      <c r="C289" s="7" t="s">
        <v>84</v>
      </c>
      <c r="D289" s="7" t="s">
        <v>85</v>
      </c>
      <c r="E289" s="7" t="s">
        <v>88</v>
      </c>
      <c r="F289" s="5" t="s">
        <v>53</v>
      </c>
      <c r="G289" s="8">
        <f t="shared" si="20"/>
        <v>0</v>
      </c>
      <c r="H289" s="9" t="s">
        <v>74</v>
      </c>
      <c r="I289" s="9">
        <f t="shared" si="18"/>
        <v>0</v>
      </c>
      <c r="J289" s="9">
        <f t="shared" si="19"/>
        <v>0</v>
      </c>
    </row>
    <row r="290" ht="54">
      <c r="A290" s="16" t="s">
        <v>36</v>
      </c>
      <c r="B290" s="18" t="s">
        <v>83</v>
      </c>
      <c r="C290" s="7" t="s">
        <v>84</v>
      </c>
      <c r="D290" s="7" t="s">
        <v>85</v>
      </c>
      <c r="E290" s="7" t="s">
        <v>89</v>
      </c>
      <c r="F290" s="5" t="s">
        <v>53</v>
      </c>
      <c r="G290" s="8">
        <f t="shared" si="20"/>
        <v>0</v>
      </c>
      <c r="H290" s="9" t="s">
        <v>74</v>
      </c>
      <c r="I290" s="9">
        <f t="shared" si="18"/>
        <v>0</v>
      </c>
      <c r="J290" s="9">
        <f t="shared" si="19"/>
        <v>0</v>
      </c>
    </row>
    <row r="291" ht="54">
      <c r="A291" s="16" t="s">
        <v>36</v>
      </c>
      <c r="B291" s="15" t="s">
        <v>83</v>
      </c>
      <c r="C291" s="7" t="s">
        <v>84</v>
      </c>
      <c r="D291" s="7" t="s">
        <v>85</v>
      </c>
      <c r="E291" s="7" t="s">
        <v>90</v>
      </c>
      <c r="F291" s="5" t="s">
        <v>22</v>
      </c>
      <c r="G291" s="8">
        <f t="shared" si="20"/>
        <v>1</v>
      </c>
      <c r="H291" s="9" t="s">
        <v>24</v>
      </c>
      <c r="I291" s="9">
        <f t="shared" si="18"/>
        <v>1</v>
      </c>
      <c r="J291" s="9">
        <f t="shared" si="19"/>
        <v>1</v>
      </c>
    </row>
    <row r="292" ht="90">
      <c r="A292" s="16" t="s">
        <v>36</v>
      </c>
      <c r="B292" s="18" t="s">
        <v>83</v>
      </c>
      <c r="C292" s="7" t="s">
        <v>91</v>
      </c>
      <c r="D292" s="7" t="s">
        <v>92</v>
      </c>
      <c r="E292" s="7" t="s">
        <v>93</v>
      </c>
      <c r="F292" s="5" t="s">
        <v>22</v>
      </c>
      <c r="G292" s="8">
        <f t="shared" si="20"/>
        <v>1</v>
      </c>
      <c r="H292" s="9" t="s">
        <v>95</v>
      </c>
      <c r="I292" s="9">
        <f t="shared" si="18"/>
        <v>0.5</v>
      </c>
      <c r="J292" s="9">
        <f t="shared" si="19"/>
        <v>0.75</v>
      </c>
    </row>
    <row r="293" ht="90">
      <c r="A293" s="16" t="s">
        <v>36</v>
      </c>
      <c r="B293" s="15" t="s">
        <v>83</v>
      </c>
      <c r="C293" s="7" t="s">
        <v>91</v>
      </c>
      <c r="D293" s="7" t="s">
        <v>92</v>
      </c>
      <c r="E293" s="7" t="s">
        <v>94</v>
      </c>
      <c r="F293" s="5" t="s">
        <v>22</v>
      </c>
      <c r="G293" s="8">
        <f t="shared" si="20"/>
        <v>1</v>
      </c>
      <c r="H293" s="9" t="s">
        <v>24</v>
      </c>
      <c r="I293" s="9">
        <f t="shared" si="18"/>
        <v>1</v>
      </c>
      <c r="J293" s="9">
        <f t="shared" si="19"/>
        <v>1</v>
      </c>
    </row>
    <row r="294" ht="90">
      <c r="A294" s="16" t="s">
        <v>36</v>
      </c>
      <c r="B294" s="18" t="s">
        <v>83</v>
      </c>
      <c r="C294" s="7" t="s">
        <v>91</v>
      </c>
      <c r="D294" s="7" t="s">
        <v>92</v>
      </c>
      <c r="E294" s="7" t="s">
        <v>96</v>
      </c>
      <c r="F294" s="5" t="s">
        <v>22</v>
      </c>
      <c r="G294" s="8">
        <f t="shared" si="20"/>
        <v>1</v>
      </c>
      <c r="H294" s="9" t="s">
        <v>24</v>
      </c>
      <c r="I294" s="9">
        <f t="shared" si="18"/>
        <v>1</v>
      </c>
      <c r="J294" s="9">
        <f t="shared" si="19"/>
        <v>1</v>
      </c>
    </row>
    <row r="295" ht="90">
      <c r="A295" s="16" t="s">
        <v>36</v>
      </c>
      <c r="B295" s="15" t="s">
        <v>83</v>
      </c>
      <c r="C295" s="7" t="s">
        <v>91</v>
      </c>
      <c r="D295" s="7" t="s">
        <v>92</v>
      </c>
      <c r="E295" s="7" t="s">
        <v>97</v>
      </c>
      <c r="F295" s="5" t="s">
        <v>22</v>
      </c>
      <c r="G295" s="8">
        <f t="shared" si="20"/>
        <v>1</v>
      </c>
      <c r="H295" s="9" t="s">
        <v>24</v>
      </c>
      <c r="I295" s="9">
        <f t="shared" si="18"/>
        <v>1</v>
      </c>
      <c r="J295" s="9">
        <f t="shared" si="19"/>
        <v>1</v>
      </c>
    </row>
    <row r="296" ht="54">
      <c r="A296" s="16" t="s">
        <v>36</v>
      </c>
      <c r="B296" s="18" t="s">
        <v>83</v>
      </c>
      <c r="C296" s="7" t="s">
        <v>98</v>
      </c>
      <c r="D296" s="7" t="s">
        <v>99</v>
      </c>
      <c r="E296" s="7" t="s">
        <v>100</v>
      </c>
      <c r="F296" s="5" t="s">
        <v>22</v>
      </c>
      <c r="G296" s="8">
        <f t="shared" si="20"/>
        <v>1</v>
      </c>
      <c r="H296" s="9" t="s">
        <v>24</v>
      </c>
      <c r="I296" s="9">
        <f t="shared" si="18"/>
        <v>1</v>
      </c>
      <c r="J296" s="9">
        <f t="shared" si="19"/>
        <v>1</v>
      </c>
    </row>
    <row r="297" ht="54">
      <c r="A297" s="16" t="s">
        <v>36</v>
      </c>
      <c r="B297" s="15" t="s">
        <v>83</v>
      </c>
      <c r="C297" s="7" t="s">
        <v>98</v>
      </c>
      <c r="D297" s="7" t="s">
        <v>99</v>
      </c>
      <c r="E297" s="7" t="s">
        <v>101</v>
      </c>
      <c r="F297" s="5" t="s">
        <v>53</v>
      </c>
      <c r="G297" s="8">
        <f t="shared" si="20"/>
        <v>0</v>
      </c>
      <c r="H297" s="9" t="s">
        <v>24</v>
      </c>
      <c r="I297" s="9">
        <f t="shared" si="18"/>
        <v>1</v>
      </c>
      <c r="J297" s="9">
        <f t="shared" si="19"/>
        <v>0.5</v>
      </c>
    </row>
    <row r="298" ht="72">
      <c r="A298" s="16" t="s">
        <v>36</v>
      </c>
      <c r="B298" s="18" t="s">
        <v>83</v>
      </c>
      <c r="C298" s="7" t="s">
        <v>98</v>
      </c>
      <c r="D298" s="7" t="s">
        <v>99</v>
      </c>
      <c r="E298" s="7" t="s">
        <v>102</v>
      </c>
      <c r="F298" s="5" t="s">
        <v>22</v>
      </c>
      <c r="G298" s="8">
        <f t="shared" si="20"/>
        <v>1</v>
      </c>
      <c r="H298" s="9" t="s">
        <v>24</v>
      </c>
      <c r="I298" s="9">
        <f t="shared" si="18"/>
        <v>1</v>
      </c>
      <c r="J298" s="9">
        <f t="shared" si="19"/>
        <v>1</v>
      </c>
    </row>
    <row r="299" ht="72">
      <c r="A299" s="16" t="s">
        <v>36</v>
      </c>
      <c r="B299" s="15" t="s">
        <v>83</v>
      </c>
      <c r="C299" s="7" t="s">
        <v>103</v>
      </c>
      <c r="D299" s="7" t="s">
        <v>104</v>
      </c>
      <c r="E299" s="7" t="s">
        <v>105</v>
      </c>
      <c r="F299" s="5" t="s">
        <v>53</v>
      </c>
      <c r="G299" s="8">
        <f t="shared" si="20"/>
        <v>0</v>
      </c>
      <c r="H299" s="9" t="s">
        <v>24</v>
      </c>
      <c r="I299" s="9">
        <f t="shared" si="18"/>
        <v>1</v>
      </c>
      <c r="J299" s="9">
        <f t="shared" si="19"/>
        <v>0.5</v>
      </c>
    </row>
    <row r="300" ht="54">
      <c r="A300" s="16" t="s">
        <v>36</v>
      </c>
      <c r="B300" s="18" t="s">
        <v>83</v>
      </c>
      <c r="C300" s="7" t="s">
        <v>103</v>
      </c>
      <c r="D300" s="7" t="s">
        <v>104</v>
      </c>
      <c r="E300" s="7" t="s">
        <v>106</v>
      </c>
      <c r="F300" s="5" t="s">
        <v>22</v>
      </c>
      <c r="G300" s="8">
        <f t="shared" si="20"/>
        <v>1</v>
      </c>
      <c r="H300" s="9" t="s">
        <v>24</v>
      </c>
      <c r="I300" s="9">
        <f t="shared" si="18"/>
        <v>1</v>
      </c>
      <c r="J300" s="9">
        <f t="shared" si="19"/>
        <v>1</v>
      </c>
    </row>
    <row r="301" ht="72">
      <c r="A301" s="16" t="s">
        <v>36</v>
      </c>
      <c r="B301" s="15" t="s">
        <v>83</v>
      </c>
      <c r="C301" s="7" t="s">
        <v>103</v>
      </c>
      <c r="D301" s="7" t="s">
        <v>104</v>
      </c>
      <c r="E301" s="7" t="s">
        <v>107</v>
      </c>
      <c r="F301" s="5" t="s">
        <v>22</v>
      </c>
      <c r="G301" s="8">
        <f t="shared" si="20"/>
        <v>1</v>
      </c>
      <c r="H301" s="9" t="s">
        <v>24</v>
      </c>
      <c r="I301" s="9">
        <f t="shared" si="18"/>
        <v>1</v>
      </c>
      <c r="J301" s="9">
        <f t="shared" si="19"/>
        <v>1</v>
      </c>
    </row>
    <row r="302" ht="72">
      <c r="A302" s="16" t="s">
        <v>36</v>
      </c>
      <c r="B302" s="17" t="s">
        <v>108</v>
      </c>
      <c r="C302" s="7" t="s">
        <v>109</v>
      </c>
      <c r="D302" s="7" t="s">
        <v>110</v>
      </c>
      <c r="E302" s="7" t="s">
        <v>111</v>
      </c>
      <c r="F302" s="5" t="s">
        <v>22</v>
      </c>
      <c r="G302" s="8">
        <f t="shared" si="20"/>
        <v>1</v>
      </c>
      <c r="H302" s="9" t="s">
        <v>24</v>
      </c>
      <c r="I302" s="9">
        <f t="shared" si="18"/>
        <v>1</v>
      </c>
      <c r="J302" s="9">
        <f t="shared" si="19"/>
        <v>1</v>
      </c>
    </row>
    <row r="303" ht="54">
      <c r="A303" s="16" t="s">
        <v>36</v>
      </c>
      <c r="B303" s="6" t="s">
        <v>108</v>
      </c>
      <c r="C303" s="7" t="s">
        <v>109</v>
      </c>
      <c r="D303" s="7" t="s">
        <v>110</v>
      </c>
      <c r="E303" s="7" t="s">
        <v>112</v>
      </c>
      <c r="F303" s="5" t="s">
        <v>22</v>
      </c>
      <c r="G303" s="8">
        <f t="shared" si="20"/>
        <v>1</v>
      </c>
      <c r="H303" s="9" t="s">
        <v>24</v>
      </c>
      <c r="I303" s="9">
        <f t="shared" si="18"/>
        <v>1</v>
      </c>
      <c r="J303" s="9">
        <f t="shared" si="19"/>
        <v>1</v>
      </c>
    </row>
    <row r="304" ht="72">
      <c r="A304" s="16" t="s">
        <v>36</v>
      </c>
      <c r="B304" s="17" t="s">
        <v>108</v>
      </c>
      <c r="C304" s="7" t="s">
        <v>109</v>
      </c>
      <c r="D304" s="7" t="s">
        <v>110</v>
      </c>
      <c r="E304" s="7" t="s">
        <v>113</v>
      </c>
      <c r="F304" s="5" t="s">
        <v>22</v>
      </c>
      <c r="G304" s="8">
        <f t="shared" si="20"/>
        <v>1</v>
      </c>
      <c r="H304" s="9" t="s">
        <v>95</v>
      </c>
      <c r="I304" s="9">
        <f t="shared" si="18"/>
        <v>0.5</v>
      </c>
      <c r="J304" s="9">
        <f t="shared" si="19"/>
        <v>0.75</v>
      </c>
    </row>
    <row r="305" ht="72">
      <c r="A305" s="16" t="s">
        <v>36</v>
      </c>
      <c r="B305" s="6" t="s">
        <v>108</v>
      </c>
      <c r="C305" s="7" t="s">
        <v>109</v>
      </c>
      <c r="D305" s="7" t="s">
        <v>110</v>
      </c>
      <c r="E305" s="7" t="s">
        <v>114</v>
      </c>
      <c r="F305" s="5" t="s">
        <v>22</v>
      </c>
      <c r="G305" s="8">
        <f t="shared" si="20"/>
        <v>1</v>
      </c>
      <c r="H305" s="9" t="s">
        <v>24</v>
      </c>
      <c r="I305" s="9">
        <f t="shared" si="18"/>
        <v>1</v>
      </c>
      <c r="J305" s="9">
        <f t="shared" si="19"/>
        <v>1</v>
      </c>
    </row>
    <row r="306" ht="72">
      <c r="A306" s="16" t="s">
        <v>36</v>
      </c>
      <c r="B306" s="17" t="s">
        <v>108</v>
      </c>
      <c r="C306" s="7" t="s">
        <v>115</v>
      </c>
      <c r="D306" s="7" t="s">
        <v>116</v>
      </c>
      <c r="E306" s="7" t="s">
        <v>117</v>
      </c>
      <c r="F306" s="5" t="s">
        <v>22</v>
      </c>
      <c r="G306" s="8">
        <f t="shared" si="20"/>
        <v>1</v>
      </c>
      <c r="H306" s="9" t="s">
        <v>95</v>
      </c>
      <c r="I306" s="9">
        <f t="shared" si="18"/>
        <v>0.5</v>
      </c>
      <c r="J306" s="9">
        <f t="shared" si="19"/>
        <v>0.75</v>
      </c>
    </row>
    <row r="307" ht="72">
      <c r="A307" s="16" t="s">
        <v>36</v>
      </c>
      <c r="B307" s="6" t="s">
        <v>108</v>
      </c>
      <c r="C307" s="7" t="s">
        <v>115</v>
      </c>
      <c r="D307" s="7" t="s">
        <v>116</v>
      </c>
      <c r="E307" s="7" t="s">
        <v>118</v>
      </c>
      <c r="F307" s="5" t="s">
        <v>22</v>
      </c>
      <c r="G307" s="8">
        <f t="shared" si="20"/>
        <v>1</v>
      </c>
      <c r="H307" s="9" t="s">
        <v>24</v>
      </c>
      <c r="I307" s="9">
        <f t="shared" si="18"/>
        <v>1</v>
      </c>
      <c r="J307" s="9">
        <f t="shared" si="19"/>
        <v>1</v>
      </c>
    </row>
    <row r="308" ht="72">
      <c r="A308" s="16" t="s">
        <v>36</v>
      </c>
      <c r="B308" s="17" t="s">
        <v>108</v>
      </c>
      <c r="C308" s="7" t="s">
        <v>115</v>
      </c>
      <c r="D308" s="7" t="s">
        <v>116</v>
      </c>
      <c r="E308" s="7" t="s">
        <v>119</v>
      </c>
      <c r="F308" s="5" t="s">
        <v>22</v>
      </c>
      <c r="G308" s="8">
        <f t="shared" si="20"/>
        <v>1</v>
      </c>
      <c r="H308" s="9" t="s">
        <v>24</v>
      </c>
      <c r="I308" s="9">
        <f t="shared" si="18"/>
        <v>1</v>
      </c>
      <c r="J308" s="9">
        <f t="shared" si="19"/>
        <v>1</v>
      </c>
    </row>
    <row r="309" ht="54">
      <c r="A309" s="16" t="s">
        <v>36</v>
      </c>
      <c r="B309" s="6" t="s">
        <v>108</v>
      </c>
      <c r="C309" s="7" t="s">
        <v>115</v>
      </c>
      <c r="D309" s="7" t="s">
        <v>116</v>
      </c>
      <c r="E309" s="7" t="s">
        <v>120</v>
      </c>
      <c r="F309" s="5" t="s">
        <v>22</v>
      </c>
      <c r="G309" s="8">
        <f t="shared" si="20"/>
        <v>1</v>
      </c>
      <c r="H309" s="9" t="s">
        <v>24</v>
      </c>
      <c r="I309" s="9">
        <f t="shared" si="18"/>
        <v>1</v>
      </c>
      <c r="J309" s="9">
        <f t="shared" si="19"/>
        <v>1</v>
      </c>
    </row>
    <row r="310" ht="54">
      <c r="A310" s="16" t="s">
        <v>36</v>
      </c>
      <c r="B310" s="17" t="s">
        <v>108</v>
      </c>
      <c r="C310" s="7" t="s">
        <v>121</v>
      </c>
      <c r="D310" s="7" t="s">
        <v>122</v>
      </c>
      <c r="E310" s="7" t="s">
        <v>123</v>
      </c>
      <c r="F310" s="5" t="s">
        <v>22</v>
      </c>
      <c r="G310" s="8">
        <f t="shared" si="20"/>
        <v>1</v>
      </c>
      <c r="H310" s="9" t="s">
        <v>24</v>
      </c>
      <c r="I310" s="9">
        <f t="shared" si="18"/>
        <v>1</v>
      </c>
      <c r="J310" s="9">
        <f t="shared" si="19"/>
        <v>1</v>
      </c>
    </row>
    <row r="311" ht="72">
      <c r="A311" s="16" t="s">
        <v>36</v>
      </c>
      <c r="B311" s="6" t="s">
        <v>108</v>
      </c>
      <c r="C311" s="7" t="s">
        <v>121</v>
      </c>
      <c r="D311" s="7" t="s">
        <v>122</v>
      </c>
      <c r="E311" s="7" t="s">
        <v>124</v>
      </c>
      <c r="F311" s="5" t="s">
        <v>22</v>
      </c>
      <c r="G311" s="8">
        <f t="shared" si="20"/>
        <v>1</v>
      </c>
      <c r="H311" s="9" t="s">
        <v>24</v>
      </c>
      <c r="I311" s="9">
        <f t="shared" si="18"/>
        <v>1</v>
      </c>
      <c r="J311" s="9">
        <f t="shared" si="19"/>
        <v>1</v>
      </c>
    </row>
    <row r="312" ht="54">
      <c r="A312" s="16" t="s">
        <v>36</v>
      </c>
      <c r="B312" s="17" t="s">
        <v>108</v>
      </c>
      <c r="C312" s="7" t="s">
        <v>121</v>
      </c>
      <c r="D312" s="7" t="s">
        <v>122</v>
      </c>
      <c r="E312" s="7" t="s">
        <v>125</v>
      </c>
      <c r="F312" s="5" t="s">
        <v>22</v>
      </c>
      <c r="G312" s="8">
        <f t="shared" si="20"/>
        <v>1</v>
      </c>
      <c r="H312" s="9" t="s">
        <v>24</v>
      </c>
      <c r="I312" s="9">
        <f t="shared" si="18"/>
        <v>1</v>
      </c>
      <c r="J312" s="9">
        <f t="shared" si="19"/>
        <v>1</v>
      </c>
    </row>
    <row r="313" ht="54">
      <c r="A313" s="16" t="s">
        <v>36</v>
      </c>
      <c r="B313" s="6" t="s">
        <v>108</v>
      </c>
      <c r="C313" s="7" t="s">
        <v>121</v>
      </c>
      <c r="D313" s="7" t="s">
        <v>122</v>
      </c>
      <c r="E313" s="7" t="s">
        <v>126</v>
      </c>
      <c r="F313" s="5" t="s">
        <v>53</v>
      </c>
      <c r="G313" s="8">
        <f t="shared" si="20"/>
        <v>0</v>
      </c>
      <c r="H313" s="9" t="s">
        <v>74</v>
      </c>
      <c r="I313" s="9">
        <f t="shared" si="18"/>
        <v>0</v>
      </c>
      <c r="J313" s="9">
        <f t="shared" si="19"/>
        <v>0</v>
      </c>
    </row>
    <row r="314" ht="72">
      <c r="A314" s="16" t="s">
        <v>36</v>
      </c>
      <c r="B314" s="17" t="s">
        <v>108</v>
      </c>
      <c r="C314" s="7" t="s">
        <v>127</v>
      </c>
      <c r="D314" s="7" t="s">
        <v>128</v>
      </c>
      <c r="E314" s="7" t="s">
        <v>129</v>
      </c>
      <c r="F314" s="5" t="s">
        <v>22</v>
      </c>
      <c r="G314" s="8">
        <f t="shared" si="20"/>
        <v>1</v>
      </c>
      <c r="H314" s="9" t="s">
        <v>24</v>
      </c>
      <c r="I314" s="9">
        <f t="shared" si="18"/>
        <v>1</v>
      </c>
      <c r="J314" s="9">
        <f t="shared" si="19"/>
        <v>1</v>
      </c>
    </row>
    <row r="315" ht="90">
      <c r="A315" s="16" t="s">
        <v>36</v>
      </c>
      <c r="B315" s="6" t="s">
        <v>108</v>
      </c>
      <c r="C315" s="7" t="s">
        <v>127</v>
      </c>
      <c r="D315" s="7" t="s">
        <v>128</v>
      </c>
      <c r="E315" s="7" t="s">
        <v>130</v>
      </c>
      <c r="F315" s="5" t="s">
        <v>22</v>
      </c>
      <c r="G315" s="8">
        <f t="shared" si="20"/>
        <v>1</v>
      </c>
      <c r="H315" s="9" t="s">
        <v>24</v>
      </c>
      <c r="I315" s="9">
        <f t="shared" si="18"/>
        <v>1</v>
      </c>
      <c r="J315" s="9">
        <f t="shared" si="19"/>
        <v>1</v>
      </c>
    </row>
    <row r="316" ht="54">
      <c r="A316" s="16" t="s">
        <v>36</v>
      </c>
      <c r="B316" s="17" t="s">
        <v>108</v>
      </c>
      <c r="C316" s="7" t="s">
        <v>127</v>
      </c>
      <c r="D316" s="7" t="s">
        <v>128</v>
      </c>
      <c r="E316" s="7" t="s">
        <v>131</v>
      </c>
      <c r="F316" s="5" t="s">
        <v>22</v>
      </c>
      <c r="G316" s="8">
        <f t="shared" si="20"/>
        <v>1</v>
      </c>
      <c r="H316" s="9" t="s">
        <v>24</v>
      </c>
      <c r="I316" s="9">
        <f t="shared" si="18"/>
        <v>1</v>
      </c>
      <c r="J316" s="9">
        <f t="shared" si="19"/>
        <v>1</v>
      </c>
    </row>
    <row r="317" ht="72">
      <c r="A317" s="16" t="s">
        <v>36</v>
      </c>
      <c r="B317" s="6" t="s">
        <v>108</v>
      </c>
      <c r="C317" s="7" t="s">
        <v>127</v>
      </c>
      <c r="D317" s="7" t="s">
        <v>128</v>
      </c>
      <c r="E317" s="7" t="s">
        <v>132</v>
      </c>
      <c r="F317" s="5" t="s">
        <v>53</v>
      </c>
      <c r="G317" s="8">
        <f t="shared" si="20"/>
        <v>0</v>
      </c>
      <c r="H317" s="9" t="s">
        <v>24</v>
      </c>
      <c r="I317" s="9">
        <f t="shared" si="18"/>
        <v>1</v>
      </c>
      <c r="J317" s="9">
        <f t="shared" si="19"/>
        <v>0.5</v>
      </c>
    </row>
    <row r="318" ht="90">
      <c r="A318" s="16" t="s">
        <v>36</v>
      </c>
      <c r="B318" s="17" t="s">
        <v>108</v>
      </c>
      <c r="C318" s="7" t="s">
        <v>133</v>
      </c>
      <c r="D318" s="7" t="s">
        <v>134</v>
      </c>
      <c r="E318" s="7" t="s">
        <v>135</v>
      </c>
      <c r="F318" s="5" t="s">
        <v>22</v>
      </c>
      <c r="G318" s="8">
        <f t="shared" si="20"/>
        <v>1</v>
      </c>
      <c r="H318" s="9" t="s">
        <v>24</v>
      </c>
      <c r="I318" s="9">
        <f t="shared" si="18"/>
        <v>1</v>
      </c>
      <c r="J318" s="9">
        <f t="shared" si="19"/>
        <v>1</v>
      </c>
    </row>
    <row r="319" ht="90">
      <c r="A319" s="16" t="s">
        <v>36</v>
      </c>
      <c r="B319" s="6" t="s">
        <v>108</v>
      </c>
      <c r="C319" s="7" t="s">
        <v>133</v>
      </c>
      <c r="D319" s="7" t="s">
        <v>134</v>
      </c>
      <c r="E319" s="7" t="s">
        <v>136</v>
      </c>
      <c r="F319" s="5" t="s">
        <v>53</v>
      </c>
      <c r="G319" s="8">
        <f t="shared" si="20"/>
        <v>0</v>
      </c>
      <c r="H319" s="9" t="s">
        <v>74</v>
      </c>
      <c r="I319" s="9">
        <f t="shared" si="18"/>
        <v>0</v>
      </c>
      <c r="J319" s="9">
        <f t="shared" si="19"/>
        <v>0</v>
      </c>
    </row>
    <row r="320" ht="72">
      <c r="A320" s="16" t="s">
        <v>36</v>
      </c>
      <c r="B320" s="17" t="s">
        <v>108</v>
      </c>
      <c r="C320" s="7" t="s">
        <v>133</v>
      </c>
      <c r="D320" s="7" t="s">
        <v>134</v>
      </c>
      <c r="E320" s="7" t="s">
        <v>137</v>
      </c>
      <c r="F320" s="5" t="s">
        <v>53</v>
      </c>
      <c r="G320" s="8">
        <f t="shared" si="20"/>
        <v>0</v>
      </c>
      <c r="H320" s="9" t="s">
        <v>74</v>
      </c>
      <c r="I320" s="9">
        <f t="shared" si="18"/>
        <v>0</v>
      </c>
      <c r="J320" s="9">
        <f t="shared" si="19"/>
        <v>0</v>
      </c>
    </row>
    <row r="321" ht="72">
      <c r="A321" s="16" t="s">
        <v>36</v>
      </c>
      <c r="B321" s="6" t="s">
        <v>108</v>
      </c>
      <c r="C321" s="7" t="s">
        <v>133</v>
      </c>
      <c r="D321" s="7" t="s">
        <v>134</v>
      </c>
      <c r="E321" s="7" t="s">
        <v>138</v>
      </c>
      <c r="F321" s="5" t="s">
        <v>22</v>
      </c>
      <c r="G321" s="8">
        <f t="shared" si="20"/>
        <v>1</v>
      </c>
      <c r="H321" s="9" t="s">
        <v>95</v>
      </c>
      <c r="I321" s="9">
        <f t="shared" si="18"/>
        <v>0.5</v>
      </c>
      <c r="J321" s="9">
        <f t="shared" si="19"/>
        <v>0.75</v>
      </c>
    </row>
    <row r="322" ht="36">
      <c r="A322" s="16" t="s">
        <v>38</v>
      </c>
      <c r="B322" s="17" t="s">
        <v>18</v>
      </c>
      <c r="C322" s="7" t="s">
        <v>139</v>
      </c>
      <c r="D322" s="6" t="s">
        <v>20</v>
      </c>
      <c r="E322" s="7" t="s">
        <v>21</v>
      </c>
      <c r="F322" s="5" t="s">
        <v>22</v>
      </c>
      <c r="G322" s="8">
        <f t="shared" si="20"/>
        <v>1</v>
      </c>
      <c r="H322" s="9" t="s">
        <v>24</v>
      </c>
      <c r="I322" s="9">
        <f t="shared" ref="I322:I385" si="21">IF(H322="Cumple",1,IF(H322="Cumple Parcialmente",0.5,IF(H322="No Cumple",0,"")))</f>
        <v>1</v>
      </c>
      <c r="J322" s="9">
        <f t="shared" si="19"/>
        <v>1</v>
      </c>
    </row>
    <row r="323" ht="36">
      <c r="A323" s="16" t="s">
        <v>38</v>
      </c>
      <c r="B323" s="6" t="s">
        <v>18</v>
      </c>
      <c r="C323" s="7" t="s">
        <v>139</v>
      </c>
      <c r="D323" s="6" t="s">
        <v>20</v>
      </c>
      <c r="E323" s="7" t="s">
        <v>23</v>
      </c>
      <c r="F323" s="5" t="s">
        <v>22</v>
      </c>
      <c r="G323" s="8">
        <f t="shared" si="20"/>
        <v>1</v>
      </c>
      <c r="H323" s="9" t="s">
        <v>24</v>
      </c>
      <c r="I323" s="9">
        <f t="shared" si="21"/>
        <v>1</v>
      </c>
      <c r="J323" s="9">
        <f t="shared" ref="J323:J386" si="22">AVERAGE(G323,I323)</f>
        <v>1</v>
      </c>
    </row>
    <row r="324" ht="54">
      <c r="A324" s="16" t="s">
        <v>38</v>
      </c>
      <c r="B324" s="17" t="s">
        <v>18</v>
      </c>
      <c r="C324" s="7" t="s">
        <v>26</v>
      </c>
      <c r="D324" s="7" t="s">
        <v>27</v>
      </c>
      <c r="E324" s="7" t="s">
        <v>28</v>
      </c>
      <c r="F324" s="5" t="s">
        <v>53</v>
      </c>
      <c r="G324" s="8">
        <f t="shared" ref="G324:G387" si="23">IF(F324="Cumple",1,IF(F324="Cumple Parcialmente",0.5,IF(F324="No Cumple",0,"")))</f>
        <v>0</v>
      </c>
      <c r="H324" s="9" t="s">
        <v>74</v>
      </c>
      <c r="I324" s="9">
        <f t="shared" si="21"/>
        <v>0</v>
      </c>
      <c r="J324" s="9">
        <f t="shared" si="22"/>
        <v>0</v>
      </c>
    </row>
    <row r="325" ht="54">
      <c r="A325" s="16" t="s">
        <v>38</v>
      </c>
      <c r="B325" s="6" t="s">
        <v>18</v>
      </c>
      <c r="C325" s="7" t="s">
        <v>26</v>
      </c>
      <c r="D325" s="7" t="s">
        <v>27</v>
      </c>
      <c r="E325" s="7" t="s">
        <v>30</v>
      </c>
      <c r="F325" s="5" t="s">
        <v>53</v>
      </c>
      <c r="G325" s="8">
        <f t="shared" si="23"/>
        <v>0</v>
      </c>
      <c r="H325" s="9" t="s">
        <v>74</v>
      </c>
      <c r="I325" s="9">
        <f t="shared" si="21"/>
        <v>0</v>
      </c>
      <c r="J325" s="9">
        <f t="shared" si="22"/>
        <v>0</v>
      </c>
    </row>
    <row r="326" ht="54">
      <c r="A326" s="16" t="s">
        <v>38</v>
      </c>
      <c r="B326" s="17" t="s">
        <v>18</v>
      </c>
      <c r="C326" s="7" t="s">
        <v>33</v>
      </c>
      <c r="D326" s="7" t="s">
        <v>34</v>
      </c>
      <c r="E326" s="7" t="s">
        <v>35</v>
      </c>
      <c r="F326" s="5" t="s">
        <v>22</v>
      </c>
      <c r="G326" s="8">
        <f t="shared" si="23"/>
        <v>1</v>
      </c>
      <c r="H326" s="9" t="s">
        <v>24</v>
      </c>
      <c r="I326" s="9">
        <f t="shared" si="21"/>
        <v>1</v>
      </c>
      <c r="J326" s="9">
        <f t="shared" si="22"/>
        <v>1</v>
      </c>
    </row>
    <row r="327" ht="36">
      <c r="A327" s="16" t="s">
        <v>38</v>
      </c>
      <c r="B327" s="6" t="s">
        <v>18</v>
      </c>
      <c r="C327" s="7" t="s">
        <v>33</v>
      </c>
      <c r="D327" s="7" t="s">
        <v>34</v>
      </c>
      <c r="E327" s="7" t="s">
        <v>37</v>
      </c>
      <c r="F327" s="5" t="s">
        <v>22</v>
      </c>
      <c r="G327" s="8">
        <f t="shared" si="23"/>
        <v>1</v>
      </c>
      <c r="H327" s="9" t="s">
        <v>24</v>
      </c>
      <c r="I327" s="9">
        <f t="shared" si="21"/>
        <v>1</v>
      </c>
      <c r="J327" s="9">
        <f t="shared" si="22"/>
        <v>1</v>
      </c>
    </row>
    <row r="328" ht="54">
      <c r="A328" s="16" t="s">
        <v>38</v>
      </c>
      <c r="B328" s="17" t="s">
        <v>18</v>
      </c>
      <c r="C328" s="7" t="s">
        <v>39</v>
      </c>
      <c r="D328" s="7" t="s">
        <v>40</v>
      </c>
      <c r="E328" s="7" t="s">
        <v>41</v>
      </c>
      <c r="F328" s="5" t="s">
        <v>22</v>
      </c>
      <c r="G328" s="8">
        <f t="shared" si="23"/>
        <v>1</v>
      </c>
      <c r="H328" s="9" t="s">
        <v>24</v>
      </c>
      <c r="I328" s="9">
        <f t="shared" si="21"/>
        <v>1</v>
      </c>
      <c r="J328" s="9">
        <v>1</v>
      </c>
    </row>
    <row r="329" ht="54">
      <c r="A329" s="16" t="s">
        <v>38</v>
      </c>
      <c r="B329" s="6" t="s">
        <v>18</v>
      </c>
      <c r="C329" s="7" t="s">
        <v>39</v>
      </c>
      <c r="D329" s="7" t="s">
        <v>40</v>
      </c>
      <c r="E329" s="7" t="s">
        <v>43</v>
      </c>
      <c r="F329" s="5" t="s">
        <v>22</v>
      </c>
      <c r="G329" s="8">
        <f t="shared" si="23"/>
        <v>1</v>
      </c>
      <c r="H329" s="9" t="s">
        <v>24</v>
      </c>
      <c r="I329" s="9">
        <f t="shared" si="21"/>
        <v>1</v>
      </c>
      <c r="J329" s="9" t="s">
        <v>24</v>
      </c>
    </row>
    <row r="330" ht="72">
      <c r="A330" s="16" t="s">
        <v>38</v>
      </c>
      <c r="B330" s="17" t="s">
        <v>18</v>
      </c>
      <c r="C330" s="7" t="s">
        <v>44</v>
      </c>
      <c r="D330" s="7" t="s">
        <v>45</v>
      </c>
      <c r="E330" s="7" t="s">
        <v>46</v>
      </c>
      <c r="F330" s="5" t="s">
        <v>22</v>
      </c>
      <c r="G330" s="8">
        <f t="shared" si="23"/>
        <v>1</v>
      </c>
      <c r="H330" s="9" t="s">
        <v>24</v>
      </c>
      <c r="I330" s="9">
        <f t="shared" si="21"/>
        <v>1</v>
      </c>
      <c r="J330" s="9">
        <f t="shared" si="22"/>
        <v>1</v>
      </c>
    </row>
    <row r="331" ht="72">
      <c r="A331" s="16" t="s">
        <v>38</v>
      </c>
      <c r="B331" s="6" t="s">
        <v>18</v>
      </c>
      <c r="C331" s="7" t="s">
        <v>44</v>
      </c>
      <c r="D331" s="7" t="s">
        <v>45</v>
      </c>
      <c r="E331" s="7" t="s">
        <v>47</v>
      </c>
      <c r="F331" s="5" t="s">
        <v>70</v>
      </c>
      <c r="G331" s="8">
        <f t="shared" si="23"/>
        <v>0.5</v>
      </c>
      <c r="H331" s="9" t="s">
        <v>95</v>
      </c>
      <c r="I331" s="9">
        <f t="shared" si="21"/>
        <v>0.5</v>
      </c>
      <c r="J331" s="9">
        <f t="shared" si="22"/>
        <v>0.5</v>
      </c>
    </row>
    <row r="332" ht="54">
      <c r="A332" s="16" t="s">
        <v>38</v>
      </c>
      <c r="B332" s="18" t="s">
        <v>48</v>
      </c>
      <c r="C332" s="7" t="s">
        <v>49</v>
      </c>
      <c r="D332" s="7" t="s">
        <v>50</v>
      </c>
      <c r="E332" s="7" t="s">
        <v>51</v>
      </c>
      <c r="F332" s="5" t="s">
        <v>53</v>
      </c>
      <c r="G332" s="8">
        <f t="shared" si="23"/>
        <v>0</v>
      </c>
      <c r="H332" s="9" t="s">
        <v>74</v>
      </c>
      <c r="I332" s="9">
        <f t="shared" si="21"/>
        <v>0</v>
      </c>
      <c r="J332" s="9">
        <f t="shared" si="22"/>
        <v>0</v>
      </c>
    </row>
    <row r="333" ht="54">
      <c r="A333" s="16" t="s">
        <v>38</v>
      </c>
      <c r="B333" s="15" t="s">
        <v>48</v>
      </c>
      <c r="C333" s="7" t="s">
        <v>49</v>
      </c>
      <c r="D333" s="7" t="s">
        <v>50</v>
      </c>
      <c r="E333" s="7" t="s">
        <v>52</v>
      </c>
      <c r="F333" s="5" t="s">
        <v>53</v>
      </c>
      <c r="G333" s="8">
        <f t="shared" si="23"/>
        <v>0</v>
      </c>
      <c r="H333" s="9" t="s">
        <v>74</v>
      </c>
      <c r="I333" s="9">
        <f t="shared" si="21"/>
        <v>0</v>
      </c>
      <c r="J333" s="9">
        <f t="shared" si="22"/>
        <v>0</v>
      </c>
    </row>
    <row r="334" ht="54">
      <c r="A334" s="16" t="s">
        <v>38</v>
      </c>
      <c r="B334" s="18" t="s">
        <v>48</v>
      </c>
      <c r="C334" s="7" t="s">
        <v>49</v>
      </c>
      <c r="D334" s="7" t="s">
        <v>50</v>
      </c>
      <c r="E334" s="7" t="s">
        <v>54</v>
      </c>
      <c r="F334" s="5" t="s">
        <v>53</v>
      </c>
      <c r="G334" s="8">
        <f t="shared" si="23"/>
        <v>0</v>
      </c>
      <c r="H334" s="9" t="s">
        <v>74</v>
      </c>
      <c r="I334" s="9">
        <f t="shared" si="21"/>
        <v>0</v>
      </c>
      <c r="J334" s="9">
        <f t="shared" si="22"/>
        <v>0</v>
      </c>
    </row>
    <row r="335" ht="54">
      <c r="A335" s="16" t="s">
        <v>38</v>
      </c>
      <c r="B335" s="15" t="s">
        <v>48</v>
      </c>
      <c r="C335" s="7" t="s">
        <v>49</v>
      </c>
      <c r="D335" s="7" t="s">
        <v>50</v>
      </c>
      <c r="E335" s="7" t="s">
        <v>55</v>
      </c>
      <c r="F335" s="5" t="s">
        <v>53</v>
      </c>
      <c r="G335" s="8">
        <f t="shared" si="23"/>
        <v>0</v>
      </c>
      <c r="H335" s="9" t="s">
        <v>74</v>
      </c>
      <c r="I335" s="9">
        <f t="shared" si="21"/>
        <v>0</v>
      </c>
      <c r="J335" s="9">
        <f t="shared" si="22"/>
        <v>0</v>
      </c>
    </row>
    <row r="336" ht="72">
      <c r="A336" s="16" t="s">
        <v>38</v>
      </c>
      <c r="B336" s="18" t="s">
        <v>48</v>
      </c>
      <c r="C336" s="7" t="s">
        <v>56</v>
      </c>
      <c r="D336" s="7" t="s">
        <v>57</v>
      </c>
      <c r="E336" s="7" t="s">
        <v>58</v>
      </c>
      <c r="F336" s="5" t="s">
        <v>22</v>
      </c>
      <c r="G336" s="8">
        <f t="shared" si="23"/>
        <v>1</v>
      </c>
      <c r="H336" s="9" t="s">
        <v>24</v>
      </c>
      <c r="I336" s="9">
        <f t="shared" si="21"/>
        <v>1</v>
      </c>
      <c r="J336" s="9">
        <f t="shared" si="22"/>
        <v>1</v>
      </c>
    </row>
    <row r="337" ht="72">
      <c r="A337" s="16" t="s">
        <v>38</v>
      </c>
      <c r="B337" s="15" t="s">
        <v>48</v>
      </c>
      <c r="C337" s="7" t="s">
        <v>56</v>
      </c>
      <c r="D337" s="7" t="s">
        <v>57</v>
      </c>
      <c r="E337" s="7" t="s">
        <v>59</v>
      </c>
      <c r="F337" s="5" t="s">
        <v>22</v>
      </c>
      <c r="G337" s="8">
        <f t="shared" si="23"/>
        <v>1</v>
      </c>
      <c r="H337" s="9" t="s">
        <v>24</v>
      </c>
      <c r="I337" s="9">
        <f t="shared" si="21"/>
        <v>1</v>
      </c>
      <c r="J337" s="9">
        <f t="shared" si="22"/>
        <v>1</v>
      </c>
    </row>
    <row r="338" ht="72">
      <c r="A338" s="16" t="s">
        <v>38</v>
      </c>
      <c r="B338" s="18" t="s">
        <v>48</v>
      </c>
      <c r="C338" s="7" t="s">
        <v>60</v>
      </c>
      <c r="D338" s="7" t="s">
        <v>61</v>
      </c>
      <c r="E338" s="7" t="s">
        <v>59</v>
      </c>
      <c r="F338" s="5" t="s">
        <v>22</v>
      </c>
      <c r="G338" s="8">
        <f t="shared" si="23"/>
        <v>1</v>
      </c>
      <c r="H338" s="9" t="s">
        <v>24</v>
      </c>
      <c r="I338" s="9">
        <f t="shared" si="21"/>
        <v>1</v>
      </c>
      <c r="J338" s="9">
        <f t="shared" si="22"/>
        <v>1</v>
      </c>
    </row>
    <row r="339" ht="72">
      <c r="A339" s="16" t="s">
        <v>38</v>
      </c>
      <c r="B339" s="15" t="s">
        <v>48</v>
      </c>
      <c r="C339" s="7" t="s">
        <v>60</v>
      </c>
      <c r="D339" s="7" t="s">
        <v>61</v>
      </c>
      <c r="E339" s="7" t="s">
        <v>59</v>
      </c>
      <c r="F339" s="5" t="s">
        <v>22</v>
      </c>
      <c r="G339" s="8">
        <f t="shared" si="23"/>
        <v>1</v>
      </c>
      <c r="H339" s="9" t="s">
        <v>95</v>
      </c>
      <c r="I339" s="9">
        <f t="shared" si="21"/>
        <v>0.5</v>
      </c>
      <c r="J339" s="9">
        <f t="shared" si="22"/>
        <v>0.75</v>
      </c>
    </row>
    <row r="340" ht="72">
      <c r="A340" s="16" t="s">
        <v>38</v>
      </c>
      <c r="B340" s="18" t="s">
        <v>48</v>
      </c>
      <c r="C340" s="7" t="s">
        <v>60</v>
      </c>
      <c r="D340" s="7" t="s">
        <v>61</v>
      </c>
      <c r="E340" s="7" t="s">
        <v>59</v>
      </c>
      <c r="F340" s="5" t="s">
        <v>53</v>
      </c>
      <c r="G340" s="8">
        <f t="shared" si="23"/>
        <v>0</v>
      </c>
      <c r="H340" s="9" t="s">
        <v>74</v>
      </c>
      <c r="I340" s="9">
        <f t="shared" si="21"/>
        <v>0</v>
      </c>
      <c r="J340" s="9">
        <f t="shared" si="22"/>
        <v>0</v>
      </c>
    </row>
    <row r="341" ht="72">
      <c r="A341" s="16" t="s">
        <v>38</v>
      </c>
      <c r="B341" s="15" t="s">
        <v>48</v>
      </c>
      <c r="C341" s="7" t="s">
        <v>65</v>
      </c>
      <c r="D341" s="7" t="s">
        <v>66</v>
      </c>
      <c r="E341" s="7" t="s">
        <v>59</v>
      </c>
      <c r="F341" s="5" t="s">
        <v>70</v>
      </c>
      <c r="G341" s="8">
        <f t="shared" si="23"/>
        <v>0.5</v>
      </c>
      <c r="H341" s="9" t="s">
        <v>95</v>
      </c>
      <c r="I341" s="9">
        <f t="shared" si="21"/>
        <v>0.5</v>
      </c>
      <c r="J341" s="9">
        <f t="shared" si="22"/>
        <v>0.5</v>
      </c>
    </row>
    <row r="342" ht="72">
      <c r="A342" s="16" t="s">
        <v>38</v>
      </c>
      <c r="B342" s="18" t="s">
        <v>48</v>
      </c>
      <c r="C342" s="7" t="s">
        <v>65</v>
      </c>
      <c r="D342" s="7" t="s">
        <v>66</v>
      </c>
      <c r="E342" s="7" t="s">
        <v>59</v>
      </c>
      <c r="F342" s="5" t="s">
        <v>22</v>
      </c>
      <c r="G342" s="8">
        <f t="shared" si="23"/>
        <v>1</v>
      </c>
      <c r="H342" s="9" t="s">
        <v>24</v>
      </c>
      <c r="I342" s="9">
        <f t="shared" si="21"/>
        <v>1</v>
      </c>
      <c r="J342" s="9">
        <f t="shared" si="22"/>
        <v>1</v>
      </c>
    </row>
    <row r="343" ht="72">
      <c r="A343" s="16" t="s">
        <v>38</v>
      </c>
      <c r="B343" s="15" t="s">
        <v>48</v>
      </c>
      <c r="C343" s="7" t="s">
        <v>65</v>
      </c>
      <c r="D343" s="7" t="s">
        <v>66</v>
      </c>
      <c r="E343" s="7" t="s">
        <v>59</v>
      </c>
      <c r="F343" s="5" t="s">
        <v>70</v>
      </c>
      <c r="G343" s="8">
        <f t="shared" si="23"/>
        <v>0.5</v>
      </c>
      <c r="H343" s="9" t="s">
        <v>95</v>
      </c>
      <c r="I343" s="9">
        <f t="shared" si="21"/>
        <v>0.5</v>
      </c>
      <c r="J343" s="9">
        <f t="shared" si="22"/>
        <v>0.5</v>
      </c>
    </row>
    <row r="344" ht="72">
      <c r="A344" s="16" t="s">
        <v>38</v>
      </c>
      <c r="B344" s="18" t="s">
        <v>48</v>
      </c>
      <c r="C344" s="7" t="s">
        <v>71</v>
      </c>
      <c r="D344" s="7" t="s">
        <v>72</v>
      </c>
      <c r="E344" s="7" t="s">
        <v>59</v>
      </c>
      <c r="F344" s="5" t="s">
        <v>70</v>
      </c>
      <c r="G344" s="8">
        <f t="shared" si="23"/>
        <v>0.5</v>
      </c>
      <c r="H344" s="9" t="s">
        <v>95</v>
      </c>
      <c r="I344" s="9">
        <f t="shared" si="21"/>
        <v>0.5</v>
      </c>
      <c r="J344" s="9">
        <f t="shared" si="22"/>
        <v>0.5</v>
      </c>
    </row>
    <row r="345" ht="72">
      <c r="A345" s="16" t="s">
        <v>38</v>
      </c>
      <c r="B345" s="15" t="s">
        <v>48</v>
      </c>
      <c r="C345" s="7" t="s">
        <v>71</v>
      </c>
      <c r="D345" s="7" t="s">
        <v>72</v>
      </c>
      <c r="E345" s="7" t="s">
        <v>59</v>
      </c>
      <c r="F345" s="5" t="s">
        <v>22</v>
      </c>
      <c r="G345" s="8">
        <f t="shared" si="23"/>
        <v>1</v>
      </c>
      <c r="H345" s="9" t="s">
        <v>95</v>
      </c>
      <c r="I345" s="9">
        <f t="shared" si="21"/>
        <v>0.5</v>
      </c>
      <c r="J345" s="9">
        <f t="shared" si="22"/>
        <v>0.75</v>
      </c>
    </row>
    <row r="346" ht="72">
      <c r="A346" s="16" t="s">
        <v>38</v>
      </c>
      <c r="B346" s="18" t="s">
        <v>48</v>
      </c>
      <c r="C346" s="7" t="s">
        <v>71</v>
      </c>
      <c r="D346" s="7" t="s">
        <v>72</v>
      </c>
      <c r="E346" s="7" t="s">
        <v>59</v>
      </c>
      <c r="F346" s="5" t="s">
        <v>70</v>
      </c>
      <c r="G346" s="8">
        <f t="shared" si="23"/>
        <v>0.5</v>
      </c>
      <c r="H346" s="9" t="s">
        <v>95</v>
      </c>
      <c r="I346" s="9">
        <f t="shared" si="21"/>
        <v>0.5</v>
      </c>
      <c r="J346" s="9">
        <f t="shared" si="22"/>
        <v>0.5</v>
      </c>
    </row>
    <row r="347" ht="72">
      <c r="A347" s="16" t="s">
        <v>38</v>
      </c>
      <c r="B347" s="15" t="s">
        <v>48</v>
      </c>
      <c r="C347" s="7" t="s">
        <v>71</v>
      </c>
      <c r="D347" s="7" t="s">
        <v>72</v>
      </c>
      <c r="E347" s="7" t="s">
        <v>59</v>
      </c>
      <c r="F347" s="5" t="s">
        <v>70</v>
      </c>
      <c r="G347" s="8">
        <f t="shared" si="23"/>
        <v>0.5</v>
      </c>
      <c r="H347" s="9" t="s">
        <v>95</v>
      </c>
      <c r="I347" s="9">
        <f t="shared" si="21"/>
        <v>0.5</v>
      </c>
      <c r="J347" s="9">
        <f t="shared" si="22"/>
        <v>0.5</v>
      </c>
    </row>
    <row r="348" ht="72">
      <c r="A348" s="16" t="s">
        <v>38</v>
      </c>
      <c r="B348" s="18" t="s">
        <v>48</v>
      </c>
      <c r="C348" s="7" t="s">
        <v>78</v>
      </c>
      <c r="D348" s="7" t="s">
        <v>79</v>
      </c>
      <c r="E348" s="7" t="s">
        <v>59</v>
      </c>
      <c r="F348" s="5" t="s">
        <v>53</v>
      </c>
      <c r="G348" s="8">
        <f t="shared" si="23"/>
        <v>0</v>
      </c>
      <c r="H348" s="9" t="s">
        <v>74</v>
      </c>
      <c r="I348" s="9">
        <f t="shared" si="21"/>
        <v>0</v>
      </c>
      <c r="J348" s="9">
        <f t="shared" si="22"/>
        <v>0</v>
      </c>
    </row>
    <row r="349" ht="72">
      <c r="A349" s="16" t="s">
        <v>38</v>
      </c>
      <c r="B349" s="15" t="s">
        <v>48</v>
      </c>
      <c r="C349" s="7" t="s">
        <v>78</v>
      </c>
      <c r="D349" s="7" t="s">
        <v>79</v>
      </c>
      <c r="E349" s="7" t="s">
        <v>59</v>
      </c>
      <c r="F349" s="5" t="s">
        <v>53</v>
      </c>
      <c r="G349" s="8">
        <f t="shared" si="23"/>
        <v>0</v>
      </c>
      <c r="H349" s="9" t="s">
        <v>74</v>
      </c>
      <c r="I349" s="9">
        <f t="shared" si="21"/>
        <v>0</v>
      </c>
      <c r="J349" s="9">
        <f t="shared" si="22"/>
        <v>0</v>
      </c>
    </row>
    <row r="350" ht="72">
      <c r="A350" s="16" t="s">
        <v>38</v>
      </c>
      <c r="B350" s="18" t="s">
        <v>48</v>
      </c>
      <c r="C350" s="7" t="s">
        <v>78</v>
      </c>
      <c r="D350" s="7" t="s">
        <v>79</v>
      </c>
      <c r="E350" s="7" t="s">
        <v>59</v>
      </c>
      <c r="F350" s="5" t="s">
        <v>70</v>
      </c>
      <c r="G350" s="8">
        <f t="shared" si="23"/>
        <v>0.5</v>
      </c>
      <c r="H350" s="9" t="s">
        <v>95</v>
      </c>
      <c r="I350" s="9">
        <f t="shared" si="21"/>
        <v>0.5</v>
      </c>
      <c r="J350" s="9">
        <f t="shared" si="22"/>
        <v>0.5</v>
      </c>
    </row>
    <row r="351" ht="72">
      <c r="A351" s="16" t="s">
        <v>38</v>
      </c>
      <c r="B351" s="15" t="s">
        <v>83</v>
      </c>
      <c r="C351" s="7" t="s">
        <v>84</v>
      </c>
      <c r="D351" s="7" t="s">
        <v>85</v>
      </c>
      <c r="E351" s="7" t="s">
        <v>59</v>
      </c>
      <c r="F351" s="5" t="s">
        <v>70</v>
      </c>
      <c r="G351" s="8">
        <f t="shared" si="23"/>
        <v>0.5</v>
      </c>
      <c r="H351" s="9" t="s">
        <v>95</v>
      </c>
      <c r="I351" s="9">
        <f t="shared" si="21"/>
        <v>0.5</v>
      </c>
      <c r="J351" s="9">
        <f t="shared" si="22"/>
        <v>0.5</v>
      </c>
    </row>
    <row r="352" ht="72">
      <c r="A352" s="16" t="s">
        <v>38</v>
      </c>
      <c r="B352" s="18" t="s">
        <v>83</v>
      </c>
      <c r="C352" s="7" t="s">
        <v>84</v>
      </c>
      <c r="D352" s="7" t="s">
        <v>85</v>
      </c>
      <c r="E352" s="7" t="s">
        <v>59</v>
      </c>
      <c r="F352" s="5" t="s">
        <v>53</v>
      </c>
      <c r="G352" s="8">
        <f t="shared" si="23"/>
        <v>0</v>
      </c>
      <c r="H352" s="9" t="s">
        <v>95</v>
      </c>
      <c r="I352" s="9">
        <f t="shared" si="21"/>
        <v>0.5</v>
      </c>
      <c r="J352" s="9">
        <f t="shared" si="22"/>
        <v>0.25</v>
      </c>
    </row>
    <row r="353" ht="72">
      <c r="A353" s="16" t="s">
        <v>38</v>
      </c>
      <c r="B353" s="15" t="s">
        <v>83</v>
      </c>
      <c r="C353" s="7" t="s">
        <v>84</v>
      </c>
      <c r="D353" s="7" t="s">
        <v>85</v>
      </c>
      <c r="E353" s="7" t="s">
        <v>59</v>
      </c>
      <c r="F353" s="5" t="s">
        <v>70</v>
      </c>
      <c r="G353" s="8">
        <f t="shared" si="23"/>
        <v>0.5</v>
      </c>
      <c r="H353" s="9" t="s">
        <v>95</v>
      </c>
      <c r="I353" s="9">
        <f t="shared" si="21"/>
        <v>0.5</v>
      </c>
      <c r="J353" s="9">
        <f t="shared" si="22"/>
        <v>0.5</v>
      </c>
    </row>
    <row r="354" ht="72">
      <c r="A354" s="16" t="s">
        <v>38</v>
      </c>
      <c r="B354" s="18" t="s">
        <v>83</v>
      </c>
      <c r="C354" s="7" t="s">
        <v>84</v>
      </c>
      <c r="D354" s="7" t="s">
        <v>85</v>
      </c>
      <c r="E354" s="7" t="s">
        <v>59</v>
      </c>
      <c r="F354" s="5" t="s">
        <v>53</v>
      </c>
      <c r="G354" s="8">
        <f t="shared" si="23"/>
        <v>0</v>
      </c>
      <c r="H354" s="9" t="s">
        <v>74</v>
      </c>
      <c r="I354" s="9">
        <f t="shared" si="21"/>
        <v>0</v>
      </c>
      <c r="J354" s="9">
        <f t="shared" si="22"/>
        <v>0</v>
      </c>
    </row>
    <row r="355" ht="72">
      <c r="A355" s="16" t="s">
        <v>38</v>
      </c>
      <c r="B355" s="15" t="s">
        <v>83</v>
      </c>
      <c r="C355" s="7" t="s">
        <v>84</v>
      </c>
      <c r="D355" s="7" t="s">
        <v>85</v>
      </c>
      <c r="E355" s="7" t="s">
        <v>59</v>
      </c>
      <c r="F355" s="5" t="s">
        <v>53</v>
      </c>
      <c r="G355" s="8">
        <f t="shared" si="23"/>
        <v>0</v>
      </c>
      <c r="H355" s="9" t="s">
        <v>74</v>
      </c>
      <c r="I355" s="9">
        <f t="shared" si="21"/>
        <v>0</v>
      </c>
      <c r="J355" s="9">
        <f t="shared" si="22"/>
        <v>0</v>
      </c>
    </row>
    <row r="356" ht="90">
      <c r="A356" s="16" t="s">
        <v>38</v>
      </c>
      <c r="B356" s="18" t="s">
        <v>83</v>
      </c>
      <c r="C356" s="7" t="s">
        <v>91</v>
      </c>
      <c r="D356" s="7" t="s">
        <v>92</v>
      </c>
      <c r="E356" s="7" t="s">
        <v>59</v>
      </c>
      <c r="F356" s="5" t="s">
        <v>53</v>
      </c>
      <c r="G356" s="8">
        <f t="shared" si="23"/>
        <v>0</v>
      </c>
      <c r="H356" s="9" t="s">
        <v>74</v>
      </c>
      <c r="I356" s="9">
        <f t="shared" si="21"/>
        <v>0</v>
      </c>
      <c r="J356" s="9">
        <f t="shared" si="22"/>
        <v>0</v>
      </c>
    </row>
    <row r="357" ht="90">
      <c r="A357" s="16" t="s">
        <v>38</v>
      </c>
      <c r="B357" s="15" t="s">
        <v>83</v>
      </c>
      <c r="C357" s="7" t="s">
        <v>91</v>
      </c>
      <c r="D357" s="7" t="s">
        <v>92</v>
      </c>
      <c r="E357" s="7" t="s">
        <v>59</v>
      </c>
      <c r="F357" s="5" t="s">
        <v>53</v>
      </c>
      <c r="G357" s="8">
        <f t="shared" si="23"/>
        <v>0</v>
      </c>
      <c r="H357" s="9" t="s">
        <v>74</v>
      </c>
      <c r="I357" s="9">
        <f t="shared" si="21"/>
        <v>0</v>
      </c>
      <c r="J357" s="9">
        <f t="shared" si="22"/>
        <v>0</v>
      </c>
    </row>
    <row r="358" ht="90">
      <c r="A358" s="16" t="s">
        <v>38</v>
      </c>
      <c r="B358" s="18" t="s">
        <v>83</v>
      </c>
      <c r="C358" s="7" t="s">
        <v>91</v>
      </c>
      <c r="D358" s="7" t="s">
        <v>92</v>
      </c>
      <c r="E358" s="7" t="s">
        <v>59</v>
      </c>
      <c r="F358" s="5" t="s">
        <v>53</v>
      </c>
      <c r="G358" s="8">
        <f t="shared" si="23"/>
        <v>0</v>
      </c>
      <c r="H358" s="9" t="s">
        <v>74</v>
      </c>
      <c r="I358" s="9">
        <f t="shared" si="21"/>
        <v>0</v>
      </c>
      <c r="J358" s="9">
        <f t="shared" si="22"/>
        <v>0</v>
      </c>
    </row>
    <row r="359" ht="90">
      <c r="A359" s="16" t="s">
        <v>38</v>
      </c>
      <c r="B359" s="15" t="s">
        <v>83</v>
      </c>
      <c r="C359" s="7" t="s">
        <v>91</v>
      </c>
      <c r="D359" s="7" t="s">
        <v>92</v>
      </c>
      <c r="E359" s="7" t="s">
        <v>59</v>
      </c>
      <c r="F359" s="5" t="s">
        <v>53</v>
      </c>
      <c r="G359" s="8">
        <f t="shared" si="23"/>
        <v>0</v>
      </c>
      <c r="H359" s="9" t="s">
        <v>74</v>
      </c>
      <c r="I359" s="9">
        <f t="shared" si="21"/>
        <v>0</v>
      </c>
      <c r="J359" s="9">
        <f t="shared" si="22"/>
        <v>0</v>
      </c>
    </row>
    <row r="360" ht="72">
      <c r="A360" s="16" t="s">
        <v>38</v>
      </c>
      <c r="B360" s="18" t="s">
        <v>83</v>
      </c>
      <c r="C360" s="7" t="s">
        <v>98</v>
      </c>
      <c r="D360" s="7" t="s">
        <v>99</v>
      </c>
      <c r="E360" s="7" t="s">
        <v>59</v>
      </c>
      <c r="F360" s="5" t="s">
        <v>22</v>
      </c>
      <c r="G360" s="8">
        <f t="shared" si="23"/>
        <v>1</v>
      </c>
      <c r="H360" s="9" t="s">
        <v>95</v>
      </c>
      <c r="I360" s="9">
        <f t="shared" si="21"/>
        <v>0.5</v>
      </c>
      <c r="J360" s="9">
        <f t="shared" si="22"/>
        <v>0.75</v>
      </c>
    </row>
    <row r="361" ht="72">
      <c r="A361" s="16" t="s">
        <v>38</v>
      </c>
      <c r="B361" s="15" t="s">
        <v>83</v>
      </c>
      <c r="C361" s="7" t="s">
        <v>98</v>
      </c>
      <c r="D361" s="7" t="s">
        <v>99</v>
      </c>
      <c r="E361" s="7" t="s">
        <v>59</v>
      </c>
      <c r="F361" s="5" t="s">
        <v>53</v>
      </c>
      <c r="G361" s="8">
        <f t="shared" si="23"/>
        <v>0</v>
      </c>
      <c r="H361" s="9" t="s">
        <v>74</v>
      </c>
      <c r="I361" s="9">
        <f t="shared" si="21"/>
        <v>0</v>
      </c>
      <c r="J361" s="9">
        <f t="shared" si="22"/>
        <v>0</v>
      </c>
    </row>
    <row r="362" ht="72">
      <c r="A362" s="16" t="s">
        <v>38</v>
      </c>
      <c r="B362" s="18" t="s">
        <v>83</v>
      </c>
      <c r="C362" s="7" t="s">
        <v>98</v>
      </c>
      <c r="D362" s="7" t="s">
        <v>99</v>
      </c>
      <c r="E362" s="7" t="s">
        <v>59</v>
      </c>
      <c r="F362" s="5" t="s">
        <v>22</v>
      </c>
      <c r="G362" s="8">
        <f t="shared" si="23"/>
        <v>1</v>
      </c>
      <c r="H362" s="9" t="s">
        <v>24</v>
      </c>
      <c r="I362" s="9">
        <f t="shared" si="21"/>
        <v>1</v>
      </c>
      <c r="J362" s="9">
        <f t="shared" si="22"/>
        <v>1</v>
      </c>
    </row>
    <row r="363" ht="72">
      <c r="A363" s="16" t="s">
        <v>38</v>
      </c>
      <c r="B363" s="15" t="s">
        <v>83</v>
      </c>
      <c r="C363" s="7" t="s">
        <v>103</v>
      </c>
      <c r="D363" s="7" t="s">
        <v>104</v>
      </c>
      <c r="E363" s="7" t="s">
        <v>59</v>
      </c>
      <c r="F363" s="5" t="s">
        <v>53</v>
      </c>
      <c r="G363" s="8">
        <f t="shared" si="23"/>
        <v>0</v>
      </c>
      <c r="H363" s="9" t="s">
        <v>74</v>
      </c>
      <c r="I363" s="9">
        <f t="shared" si="21"/>
        <v>0</v>
      </c>
      <c r="J363" s="9">
        <f t="shared" si="22"/>
        <v>0</v>
      </c>
    </row>
    <row r="364" ht="72">
      <c r="A364" s="16" t="s">
        <v>38</v>
      </c>
      <c r="B364" s="18" t="s">
        <v>83</v>
      </c>
      <c r="C364" s="7" t="s">
        <v>103</v>
      </c>
      <c r="D364" s="7" t="s">
        <v>104</v>
      </c>
      <c r="E364" s="7" t="s">
        <v>59</v>
      </c>
      <c r="F364" s="5" t="s">
        <v>70</v>
      </c>
      <c r="G364" s="8">
        <f t="shared" si="23"/>
        <v>0.5</v>
      </c>
      <c r="H364" s="9" t="s">
        <v>95</v>
      </c>
      <c r="I364" s="9">
        <f t="shared" si="21"/>
        <v>0.5</v>
      </c>
      <c r="J364" s="9">
        <f t="shared" si="22"/>
        <v>0.5</v>
      </c>
    </row>
    <row r="365" ht="72">
      <c r="A365" s="16" t="s">
        <v>38</v>
      </c>
      <c r="B365" s="15" t="s">
        <v>83</v>
      </c>
      <c r="C365" s="7" t="s">
        <v>103</v>
      </c>
      <c r="D365" s="7" t="s">
        <v>104</v>
      </c>
      <c r="E365" s="7" t="s">
        <v>59</v>
      </c>
      <c r="F365" s="5" t="s">
        <v>22</v>
      </c>
      <c r="G365" s="8">
        <f t="shared" si="23"/>
        <v>1</v>
      </c>
      <c r="H365" s="9" t="s">
        <v>24</v>
      </c>
      <c r="I365" s="9">
        <f t="shared" si="21"/>
        <v>1</v>
      </c>
      <c r="J365" s="9">
        <f t="shared" si="22"/>
        <v>1</v>
      </c>
    </row>
    <row r="366" ht="72">
      <c r="A366" s="16" t="s">
        <v>38</v>
      </c>
      <c r="B366" s="17" t="s">
        <v>108</v>
      </c>
      <c r="C366" s="7" t="s">
        <v>109</v>
      </c>
      <c r="D366" s="7" t="s">
        <v>110</v>
      </c>
      <c r="E366" s="7" t="s">
        <v>59</v>
      </c>
      <c r="F366" s="5" t="s">
        <v>22</v>
      </c>
      <c r="G366" s="8">
        <f t="shared" si="23"/>
        <v>1</v>
      </c>
      <c r="H366" s="9" t="s">
        <v>24</v>
      </c>
      <c r="I366" s="9">
        <f t="shared" si="21"/>
        <v>1</v>
      </c>
      <c r="J366" s="9">
        <f t="shared" si="22"/>
        <v>1</v>
      </c>
    </row>
    <row r="367" ht="72">
      <c r="A367" s="16" t="s">
        <v>38</v>
      </c>
      <c r="B367" s="6" t="s">
        <v>108</v>
      </c>
      <c r="C367" s="7" t="s">
        <v>109</v>
      </c>
      <c r="D367" s="7" t="s">
        <v>110</v>
      </c>
      <c r="E367" s="7" t="s">
        <v>59</v>
      </c>
      <c r="F367" s="5" t="s">
        <v>53</v>
      </c>
      <c r="G367" s="8">
        <f t="shared" si="23"/>
        <v>0</v>
      </c>
      <c r="H367" s="9" t="s">
        <v>74</v>
      </c>
      <c r="I367" s="9">
        <f t="shared" si="21"/>
        <v>0</v>
      </c>
      <c r="J367" s="9">
        <f t="shared" si="22"/>
        <v>0</v>
      </c>
    </row>
    <row r="368" ht="72">
      <c r="A368" s="16" t="s">
        <v>38</v>
      </c>
      <c r="B368" s="17" t="s">
        <v>108</v>
      </c>
      <c r="C368" s="7" t="s">
        <v>109</v>
      </c>
      <c r="D368" s="7" t="s">
        <v>110</v>
      </c>
      <c r="E368" s="7" t="s">
        <v>59</v>
      </c>
      <c r="F368" s="5" t="s">
        <v>22</v>
      </c>
      <c r="G368" s="8">
        <f t="shared" si="23"/>
        <v>1</v>
      </c>
      <c r="H368" s="9" t="s">
        <v>24</v>
      </c>
      <c r="I368" s="9">
        <f t="shared" si="21"/>
        <v>1</v>
      </c>
      <c r="J368" s="9">
        <f t="shared" si="22"/>
        <v>1</v>
      </c>
    </row>
    <row r="369" ht="72">
      <c r="A369" s="16" t="s">
        <v>38</v>
      </c>
      <c r="B369" s="6" t="s">
        <v>108</v>
      </c>
      <c r="C369" s="7" t="s">
        <v>109</v>
      </c>
      <c r="D369" s="7" t="s">
        <v>110</v>
      </c>
      <c r="E369" s="7" t="s">
        <v>59</v>
      </c>
      <c r="F369" s="5" t="s">
        <v>22</v>
      </c>
      <c r="G369" s="8">
        <f t="shared" si="23"/>
        <v>1</v>
      </c>
      <c r="H369" s="9" t="s">
        <v>24</v>
      </c>
      <c r="I369" s="9">
        <f t="shared" si="21"/>
        <v>1</v>
      </c>
      <c r="J369" s="9">
        <f t="shared" si="22"/>
        <v>1</v>
      </c>
    </row>
    <row r="370" ht="72">
      <c r="A370" s="16" t="s">
        <v>38</v>
      </c>
      <c r="B370" s="17" t="s">
        <v>108</v>
      </c>
      <c r="C370" s="7" t="s">
        <v>115</v>
      </c>
      <c r="D370" s="7" t="s">
        <v>116</v>
      </c>
      <c r="E370" s="7" t="s">
        <v>59</v>
      </c>
      <c r="F370" s="5" t="s">
        <v>53</v>
      </c>
      <c r="G370" s="8">
        <f t="shared" si="23"/>
        <v>0</v>
      </c>
      <c r="H370" s="9" t="s">
        <v>74</v>
      </c>
      <c r="I370" s="9">
        <f t="shared" si="21"/>
        <v>0</v>
      </c>
      <c r="J370" s="9">
        <f t="shared" si="22"/>
        <v>0</v>
      </c>
    </row>
    <row r="371" ht="72">
      <c r="A371" s="16" t="s">
        <v>38</v>
      </c>
      <c r="B371" s="6" t="s">
        <v>108</v>
      </c>
      <c r="C371" s="7" t="s">
        <v>115</v>
      </c>
      <c r="D371" s="7" t="s">
        <v>116</v>
      </c>
      <c r="E371" s="7" t="s">
        <v>59</v>
      </c>
      <c r="F371" s="5" t="s">
        <v>53</v>
      </c>
      <c r="G371" s="8">
        <f t="shared" si="23"/>
        <v>0</v>
      </c>
      <c r="H371" s="9" t="s">
        <v>74</v>
      </c>
      <c r="I371" s="9">
        <f t="shared" si="21"/>
        <v>0</v>
      </c>
      <c r="J371" s="9">
        <f t="shared" si="22"/>
        <v>0</v>
      </c>
    </row>
    <row r="372" ht="72">
      <c r="A372" s="16" t="s">
        <v>38</v>
      </c>
      <c r="B372" s="17" t="s">
        <v>108</v>
      </c>
      <c r="C372" s="7" t="s">
        <v>115</v>
      </c>
      <c r="D372" s="7" t="s">
        <v>116</v>
      </c>
      <c r="E372" s="7" t="s">
        <v>59</v>
      </c>
      <c r="F372" s="5" t="s">
        <v>53</v>
      </c>
      <c r="G372" s="8">
        <f t="shared" si="23"/>
        <v>0</v>
      </c>
      <c r="H372" s="9" t="s">
        <v>74</v>
      </c>
      <c r="I372" s="9">
        <f t="shared" si="21"/>
        <v>0</v>
      </c>
      <c r="J372" s="9">
        <f t="shared" si="22"/>
        <v>0</v>
      </c>
    </row>
    <row r="373" ht="72">
      <c r="A373" s="16" t="s">
        <v>38</v>
      </c>
      <c r="B373" s="6" t="s">
        <v>108</v>
      </c>
      <c r="C373" s="7" t="s">
        <v>115</v>
      </c>
      <c r="D373" s="7" t="s">
        <v>116</v>
      </c>
      <c r="E373" s="7" t="s">
        <v>59</v>
      </c>
      <c r="F373" s="5" t="s">
        <v>53</v>
      </c>
      <c r="G373" s="8">
        <f t="shared" si="23"/>
        <v>0</v>
      </c>
      <c r="H373" s="9" t="s">
        <v>74</v>
      </c>
      <c r="I373" s="9">
        <f t="shared" si="21"/>
        <v>0</v>
      </c>
      <c r="J373" s="9">
        <f t="shared" si="22"/>
        <v>0</v>
      </c>
    </row>
    <row r="374" ht="72">
      <c r="A374" s="16" t="s">
        <v>38</v>
      </c>
      <c r="B374" s="17" t="s">
        <v>108</v>
      </c>
      <c r="C374" s="7" t="s">
        <v>121</v>
      </c>
      <c r="D374" s="7" t="s">
        <v>122</v>
      </c>
      <c r="E374" s="7" t="s">
        <v>59</v>
      </c>
      <c r="F374" s="5" t="s">
        <v>140</v>
      </c>
      <c r="G374" s="8">
        <f t="shared" si="23"/>
        <v>0</v>
      </c>
      <c r="H374" s="9" t="s">
        <v>74</v>
      </c>
      <c r="I374" s="9">
        <f t="shared" si="21"/>
        <v>0</v>
      </c>
      <c r="J374" s="9">
        <f t="shared" si="22"/>
        <v>0</v>
      </c>
    </row>
    <row r="375" ht="72">
      <c r="A375" s="16" t="s">
        <v>38</v>
      </c>
      <c r="B375" s="6" t="s">
        <v>108</v>
      </c>
      <c r="C375" s="7" t="s">
        <v>121</v>
      </c>
      <c r="D375" s="7" t="s">
        <v>122</v>
      </c>
      <c r="E375" s="7" t="s">
        <v>59</v>
      </c>
      <c r="F375" s="5" t="s">
        <v>53</v>
      </c>
      <c r="G375" s="8">
        <f t="shared" si="23"/>
        <v>0</v>
      </c>
      <c r="H375" s="9" t="s">
        <v>74</v>
      </c>
      <c r="I375" s="9">
        <f t="shared" si="21"/>
        <v>0</v>
      </c>
      <c r="J375" s="9">
        <f t="shared" si="22"/>
        <v>0</v>
      </c>
    </row>
    <row r="376" ht="72">
      <c r="A376" s="16" t="s">
        <v>38</v>
      </c>
      <c r="B376" s="17" t="s">
        <v>108</v>
      </c>
      <c r="C376" s="7" t="s">
        <v>121</v>
      </c>
      <c r="D376" s="7" t="s">
        <v>122</v>
      </c>
      <c r="E376" s="7" t="s">
        <v>59</v>
      </c>
      <c r="F376" s="5" t="s">
        <v>53</v>
      </c>
      <c r="G376" s="8">
        <f t="shared" si="23"/>
        <v>0</v>
      </c>
      <c r="H376" s="9" t="s">
        <v>74</v>
      </c>
      <c r="I376" s="9">
        <f t="shared" si="21"/>
        <v>0</v>
      </c>
      <c r="J376" s="9">
        <f t="shared" si="22"/>
        <v>0</v>
      </c>
    </row>
    <row r="377" ht="72">
      <c r="A377" s="16" t="s">
        <v>38</v>
      </c>
      <c r="B377" s="6" t="s">
        <v>108</v>
      </c>
      <c r="C377" s="7" t="s">
        <v>121</v>
      </c>
      <c r="D377" s="7" t="s">
        <v>122</v>
      </c>
      <c r="E377" s="7" t="s">
        <v>59</v>
      </c>
      <c r="F377" s="5" t="s">
        <v>53</v>
      </c>
      <c r="G377" s="8">
        <f t="shared" si="23"/>
        <v>0</v>
      </c>
      <c r="H377" s="9" t="s">
        <v>74</v>
      </c>
      <c r="I377" s="9">
        <f t="shared" si="21"/>
        <v>0</v>
      </c>
      <c r="J377" s="9">
        <f t="shared" si="22"/>
        <v>0</v>
      </c>
    </row>
    <row r="378" ht="72">
      <c r="A378" s="16" t="s">
        <v>38</v>
      </c>
      <c r="B378" s="17" t="s">
        <v>108</v>
      </c>
      <c r="C378" s="7" t="s">
        <v>127</v>
      </c>
      <c r="D378" s="7" t="s">
        <v>128</v>
      </c>
      <c r="E378" s="7" t="s">
        <v>59</v>
      </c>
      <c r="F378" s="5" t="s">
        <v>53</v>
      </c>
      <c r="G378" s="8">
        <f t="shared" si="23"/>
        <v>0</v>
      </c>
      <c r="H378" s="9" t="s">
        <v>74</v>
      </c>
      <c r="I378" s="9">
        <f t="shared" si="21"/>
        <v>0</v>
      </c>
      <c r="J378" s="9">
        <f t="shared" si="22"/>
        <v>0</v>
      </c>
    </row>
    <row r="379" ht="72">
      <c r="A379" s="16" t="s">
        <v>38</v>
      </c>
      <c r="B379" s="6" t="s">
        <v>108</v>
      </c>
      <c r="C379" s="7" t="s">
        <v>127</v>
      </c>
      <c r="D379" s="7" t="s">
        <v>128</v>
      </c>
      <c r="E379" s="7" t="s">
        <v>59</v>
      </c>
      <c r="F379" s="5" t="s">
        <v>53</v>
      </c>
      <c r="G379" s="8">
        <f t="shared" si="23"/>
        <v>0</v>
      </c>
      <c r="H379" s="9" t="s">
        <v>74</v>
      </c>
      <c r="I379" s="9">
        <f t="shared" si="21"/>
        <v>0</v>
      </c>
      <c r="J379" s="9">
        <f t="shared" si="22"/>
        <v>0</v>
      </c>
    </row>
    <row r="380" ht="72">
      <c r="A380" s="16" t="s">
        <v>38</v>
      </c>
      <c r="B380" s="17" t="s">
        <v>108</v>
      </c>
      <c r="C380" s="7" t="s">
        <v>127</v>
      </c>
      <c r="D380" s="7" t="s">
        <v>128</v>
      </c>
      <c r="E380" s="7" t="s">
        <v>59</v>
      </c>
      <c r="F380" s="5" t="s">
        <v>53</v>
      </c>
      <c r="G380" s="8">
        <f t="shared" si="23"/>
        <v>0</v>
      </c>
      <c r="H380" s="9" t="s">
        <v>74</v>
      </c>
      <c r="I380" s="9">
        <f t="shared" si="21"/>
        <v>0</v>
      </c>
      <c r="J380" s="9">
        <f t="shared" si="22"/>
        <v>0</v>
      </c>
    </row>
    <row r="381" ht="72">
      <c r="A381" s="16" t="s">
        <v>38</v>
      </c>
      <c r="B381" s="6" t="s">
        <v>108</v>
      </c>
      <c r="C381" s="7" t="s">
        <v>127</v>
      </c>
      <c r="D381" s="7" t="s">
        <v>128</v>
      </c>
      <c r="E381" s="7" t="s">
        <v>59</v>
      </c>
      <c r="F381" s="5" t="s">
        <v>53</v>
      </c>
      <c r="G381" s="8">
        <f t="shared" si="23"/>
        <v>0</v>
      </c>
      <c r="H381" s="9" t="s">
        <v>74</v>
      </c>
      <c r="I381" s="9">
        <f t="shared" si="21"/>
        <v>0</v>
      </c>
      <c r="J381" s="9">
        <f t="shared" si="22"/>
        <v>0</v>
      </c>
    </row>
    <row r="382" ht="72">
      <c r="A382" s="16" t="s">
        <v>38</v>
      </c>
      <c r="B382" s="17" t="s">
        <v>108</v>
      </c>
      <c r="C382" s="7" t="s">
        <v>133</v>
      </c>
      <c r="D382" s="7" t="s">
        <v>134</v>
      </c>
      <c r="E382" s="7" t="s">
        <v>59</v>
      </c>
      <c r="F382" s="5" t="s">
        <v>53</v>
      </c>
      <c r="G382" s="8">
        <f t="shared" si="23"/>
        <v>0</v>
      </c>
      <c r="H382" s="9" t="s">
        <v>74</v>
      </c>
      <c r="I382" s="9">
        <f t="shared" si="21"/>
        <v>0</v>
      </c>
      <c r="J382" s="9">
        <f t="shared" si="22"/>
        <v>0</v>
      </c>
    </row>
    <row r="383" ht="72">
      <c r="A383" s="16" t="s">
        <v>38</v>
      </c>
      <c r="B383" s="6" t="s">
        <v>108</v>
      </c>
      <c r="C383" s="7" t="s">
        <v>133</v>
      </c>
      <c r="D383" s="7" t="s">
        <v>134</v>
      </c>
      <c r="E383" s="7" t="s">
        <v>59</v>
      </c>
      <c r="F383" s="5" t="s">
        <v>70</v>
      </c>
      <c r="G383" s="8">
        <f t="shared" si="23"/>
        <v>0.5</v>
      </c>
      <c r="H383" s="9" t="s">
        <v>95</v>
      </c>
      <c r="I383" s="9">
        <f t="shared" si="21"/>
        <v>0.5</v>
      </c>
      <c r="J383" s="9">
        <f t="shared" si="22"/>
        <v>0.5</v>
      </c>
    </row>
    <row r="384" ht="72">
      <c r="A384" s="16" t="s">
        <v>38</v>
      </c>
      <c r="B384" s="17" t="s">
        <v>108</v>
      </c>
      <c r="C384" s="7" t="s">
        <v>133</v>
      </c>
      <c r="D384" s="7" t="s">
        <v>134</v>
      </c>
      <c r="E384" s="7" t="s">
        <v>59</v>
      </c>
      <c r="F384" s="5" t="s">
        <v>53</v>
      </c>
      <c r="G384" s="8">
        <f t="shared" si="23"/>
        <v>0</v>
      </c>
      <c r="H384" s="9" t="s">
        <v>74</v>
      </c>
      <c r="I384" s="9">
        <f t="shared" si="21"/>
        <v>0</v>
      </c>
      <c r="J384" s="9">
        <f t="shared" si="22"/>
        <v>0</v>
      </c>
    </row>
    <row r="385" ht="72">
      <c r="A385" s="16" t="s">
        <v>38</v>
      </c>
      <c r="B385" s="6" t="s">
        <v>108</v>
      </c>
      <c r="C385" s="7" t="s">
        <v>133</v>
      </c>
      <c r="D385" s="7" t="s">
        <v>134</v>
      </c>
      <c r="E385" s="7" t="s">
        <v>59</v>
      </c>
      <c r="F385" s="5" t="s">
        <v>70</v>
      </c>
      <c r="G385" s="8">
        <f t="shared" si="23"/>
        <v>0.5</v>
      </c>
      <c r="H385" s="9" t="s">
        <v>95</v>
      </c>
      <c r="I385" s="9">
        <f t="shared" si="21"/>
        <v>0.5</v>
      </c>
      <c r="J385" s="9">
        <f t="shared" si="22"/>
        <v>0.5</v>
      </c>
    </row>
    <row r="386" ht="36">
      <c r="A386" s="19" t="s">
        <v>42</v>
      </c>
      <c r="B386" s="17" t="s">
        <v>18</v>
      </c>
      <c r="C386" s="7" t="s">
        <v>139</v>
      </c>
      <c r="D386" s="6" t="s">
        <v>20</v>
      </c>
      <c r="E386" s="7" t="s">
        <v>21</v>
      </c>
      <c r="F386" s="5" t="s">
        <v>22</v>
      </c>
      <c r="G386" s="8">
        <f t="shared" si="23"/>
        <v>1</v>
      </c>
      <c r="H386" s="9"/>
      <c r="I386" s="9"/>
      <c r="J386" s="9">
        <f t="shared" si="22"/>
        <v>1</v>
      </c>
    </row>
    <row r="387" ht="36">
      <c r="A387" s="16" t="s">
        <v>42</v>
      </c>
      <c r="B387" s="6" t="s">
        <v>18</v>
      </c>
      <c r="C387" s="7" t="s">
        <v>139</v>
      </c>
      <c r="D387" s="6" t="s">
        <v>20</v>
      </c>
      <c r="E387" s="7" t="s">
        <v>23</v>
      </c>
      <c r="F387" s="5" t="s">
        <v>22</v>
      </c>
      <c r="G387" s="8">
        <f t="shared" si="23"/>
        <v>1</v>
      </c>
      <c r="H387" s="9"/>
      <c r="I387" s="9"/>
      <c r="J387" s="9">
        <f t="shared" ref="J387:J449" si="24">AVERAGE(G387,I387)</f>
        <v>1</v>
      </c>
    </row>
    <row r="388" ht="54">
      <c r="A388" s="16" t="s">
        <v>42</v>
      </c>
      <c r="B388" s="17" t="s">
        <v>18</v>
      </c>
      <c r="C388" s="7" t="s">
        <v>26</v>
      </c>
      <c r="D388" s="7" t="s">
        <v>27</v>
      </c>
      <c r="E388" s="7" t="s">
        <v>28</v>
      </c>
      <c r="F388" s="5" t="s">
        <v>22</v>
      </c>
      <c r="G388" s="8">
        <f t="shared" ref="G388:G449" si="25">IF(F388="Cumple",1,IF(F388="Cumple Parcialmente",0.5,IF(F388="No Cumple",0,"")))</f>
        <v>1</v>
      </c>
      <c r="H388" s="9"/>
      <c r="I388" s="9"/>
      <c r="J388" s="9">
        <f t="shared" si="24"/>
        <v>1</v>
      </c>
    </row>
    <row r="389" ht="54">
      <c r="A389" s="16" t="s">
        <v>42</v>
      </c>
      <c r="B389" s="6" t="s">
        <v>18</v>
      </c>
      <c r="C389" s="7" t="s">
        <v>26</v>
      </c>
      <c r="D389" s="7" t="s">
        <v>27</v>
      </c>
      <c r="E389" s="7" t="s">
        <v>30</v>
      </c>
      <c r="F389" s="5" t="s">
        <v>22</v>
      </c>
      <c r="G389" s="8">
        <f t="shared" si="25"/>
        <v>1</v>
      </c>
      <c r="H389" s="9"/>
      <c r="I389" s="9"/>
      <c r="J389" s="9">
        <f t="shared" si="24"/>
        <v>1</v>
      </c>
    </row>
    <row r="390" ht="54">
      <c r="A390" s="16" t="s">
        <v>42</v>
      </c>
      <c r="B390" s="17" t="s">
        <v>18</v>
      </c>
      <c r="C390" s="7" t="s">
        <v>33</v>
      </c>
      <c r="D390" s="7" t="s">
        <v>34</v>
      </c>
      <c r="E390" s="7" t="s">
        <v>35</v>
      </c>
      <c r="F390" s="5" t="s">
        <v>22</v>
      </c>
      <c r="G390" s="8">
        <f t="shared" si="25"/>
        <v>1</v>
      </c>
      <c r="H390" s="9"/>
      <c r="I390" s="9"/>
      <c r="J390" s="9">
        <f t="shared" si="24"/>
        <v>1</v>
      </c>
    </row>
    <row r="391" ht="36">
      <c r="A391" s="16" t="s">
        <v>42</v>
      </c>
      <c r="B391" s="6" t="s">
        <v>18</v>
      </c>
      <c r="C391" s="7" t="s">
        <v>33</v>
      </c>
      <c r="D391" s="7" t="s">
        <v>34</v>
      </c>
      <c r="E391" s="7" t="s">
        <v>37</v>
      </c>
      <c r="F391" s="5" t="s">
        <v>22</v>
      </c>
      <c r="G391" s="8">
        <f t="shared" si="25"/>
        <v>1</v>
      </c>
      <c r="H391" s="9"/>
      <c r="I391" s="9"/>
      <c r="J391" s="9">
        <f t="shared" si="24"/>
        <v>1</v>
      </c>
    </row>
    <row r="392" ht="54">
      <c r="A392" s="16" t="s">
        <v>42</v>
      </c>
      <c r="B392" s="17" t="s">
        <v>18</v>
      </c>
      <c r="C392" s="7" t="s">
        <v>39</v>
      </c>
      <c r="D392" s="7" t="s">
        <v>40</v>
      </c>
      <c r="E392" s="7" t="s">
        <v>41</v>
      </c>
      <c r="F392" s="5" t="s">
        <v>22</v>
      </c>
      <c r="G392" s="8">
        <f t="shared" si="25"/>
        <v>1</v>
      </c>
      <c r="H392" s="9"/>
      <c r="I392" s="9"/>
      <c r="J392" s="9">
        <f t="shared" si="24"/>
        <v>1</v>
      </c>
    </row>
    <row r="393" ht="54">
      <c r="A393" s="16" t="s">
        <v>42</v>
      </c>
      <c r="B393" s="6" t="s">
        <v>18</v>
      </c>
      <c r="C393" s="7" t="s">
        <v>39</v>
      </c>
      <c r="D393" s="7" t="s">
        <v>40</v>
      </c>
      <c r="E393" s="7" t="s">
        <v>43</v>
      </c>
      <c r="F393" s="5" t="s">
        <v>22</v>
      </c>
      <c r="G393" s="8">
        <f t="shared" si="25"/>
        <v>1</v>
      </c>
      <c r="H393" s="9"/>
      <c r="I393" s="9"/>
      <c r="J393" s="9">
        <f t="shared" si="24"/>
        <v>1</v>
      </c>
    </row>
    <row r="394" ht="72">
      <c r="A394" s="16" t="s">
        <v>42</v>
      </c>
      <c r="B394" s="17" t="s">
        <v>18</v>
      </c>
      <c r="C394" s="7" t="s">
        <v>44</v>
      </c>
      <c r="D394" s="7" t="s">
        <v>45</v>
      </c>
      <c r="E394" s="7" t="s">
        <v>46</v>
      </c>
      <c r="F394" s="5" t="s">
        <v>22</v>
      </c>
      <c r="G394" s="8">
        <f t="shared" si="25"/>
        <v>1</v>
      </c>
      <c r="H394" s="9"/>
      <c r="I394" s="9"/>
      <c r="J394" s="9">
        <f t="shared" si="24"/>
        <v>1</v>
      </c>
    </row>
    <row r="395" ht="72">
      <c r="A395" s="16" t="s">
        <v>42</v>
      </c>
      <c r="B395" s="6" t="s">
        <v>18</v>
      </c>
      <c r="C395" s="7" t="s">
        <v>44</v>
      </c>
      <c r="D395" s="7" t="s">
        <v>45</v>
      </c>
      <c r="E395" s="7" t="s">
        <v>47</v>
      </c>
      <c r="F395" s="5" t="s">
        <v>22</v>
      </c>
      <c r="G395" s="8">
        <f t="shared" si="25"/>
        <v>1</v>
      </c>
      <c r="H395" s="9"/>
      <c r="I395" s="9"/>
      <c r="J395" s="9">
        <f t="shared" si="24"/>
        <v>1</v>
      </c>
    </row>
    <row r="396" ht="54">
      <c r="A396" s="16" t="s">
        <v>42</v>
      </c>
      <c r="B396" s="18" t="s">
        <v>48</v>
      </c>
      <c r="C396" s="7" t="s">
        <v>49</v>
      </c>
      <c r="D396" s="7" t="s">
        <v>50</v>
      </c>
      <c r="E396" s="7" t="s">
        <v>51</v>
      </c>
      <c r="F396" s="5" t="s">
        <v>22</v>
      </c>
      <c r="G396" s="8">
        <f t="shared" si="25"/>
        <v>1</v>
      </c>
      <c r="H396" s="9"/>
      <c r="I396" s="9"/>
      <c r="J396" s="9">
        <f t="shared" si="24"/>
        <v>1</v>
      </c>
    </row>
    <row r="397" ht="54">
      <c r="A397" s="16" t="s">
        <v>42</v>
      </c>
      <c r="B397" s="15" t="s">
        <v>48</v>
      </c>
      <c r="C397" s="7" t="s">
        <v>49</v>
      </c>
      <c r="D397" s="7" t="s">
        <v>50</v>
      </c>
      <c r="E397" s="7" t="s">
        <v>52</v>
      </c>
      <c r="F397" s="5" t="s">
        <v>22</v>
      </c>
      <c r="G397" s="8">
        <f t="shared" si="25"/>
        <v>1</v>
      </c>
      <c r="H397" s="9"/>
      <c r="I397" s="9"/>
      <c r="J397" s="9">
        <f t="shared" si="24"/>
        <v>1</v>
      </c>
    </row>
    <row r="398" ht="54">
      <c r="A398" s="16" t="s">
        <v>42</v>
      </c>
      <c r="B398" s="18" t="s">
        <v>48</v>
      </c>
      <c r="C398" s="7" t="s">
        <v>49</v>
      </c>
      <c r="D398" s="7" t="s">
        <v>50</v>
      </c>
      <c r="E398" s="7" t="s">
        <v>54</v>
      </c>
      <c r="F398" s="5" t="s">
        <v>22</v>
      </c>
      <c r="G398" s="8">
        <f t="shared" si="25"/>
        <v>1</v>
      </c>
      <c r="H398" s="9"/>
      <c r="I398" s="9"/>
      <c r="J398" s="9">
        <f t="shared" si="24"/>
        <v>1</v>
      </c>
    </row>
    <row r="399" ht="54">
      <c r="A399" s="16" t="s">
        <v>42</v>
      </c>
      <c r="B399" s="15" t="s">
        <v>48</v>
      </c>
      <c r="C399" s="7" t="s">
        <v>49</v>
      </c>
      <c r="D399" s="7" t="s">
        <v>50</v>
      </c>
      <c r="E399" s="7" t="s">
        <v>55</v>
      </c>
      <c r="F399" s="5" t="s">
        <v>22</v>
      </c>
      <c r="G399" s="8">
        <f t="shared" si="25"/>
        <v>1</v>
      </c>
      <c r="H399" s="9"/>
      <c r="I399" s="9"/>
      <c r="J399" s="9">
        <f t="shared" si="24"/>
        <v>1</v>
      </c>
    </row>
    <row r="400" ht="72">
      <c r="A400" s="16" t="s">
        <v>42</v>
      </c>
      <c r="B400" s="18" t="s">
        <v>48</v>
      </c>
      <c r="C400" s="7" t="s">
        <v>56</v>
      </c>
      <c r="D400" s="7" t="s">
        <v>57</v>
      </c>
      <c r="E400" s="7" t="s">
        <v>58</v>
      </c>
      <c r="F400" s="5" t="s">
        <v>22</v>
      </c>
      <c r="G400" s="8">
        <f t="shared" si="25"/>
        <v>1</v>
      </c>
      <c r="H400" s="9"/>
      <c r="I400" s="9"/>
      <c r="J400" s="9">
        <f t="shared" si="24"/>
        <v>1</v>
      </c>
    </row>
    <row r="401" ht="72">
      <c r="A401" s="16" t="s">
        <v>42</v>
      </c>
      <c r="B401" s="15" t="s">
        <v>48</v>
      </c>
      <c r="C401" s="7" t="s">
        <v>56</v>
      </c>
      <c r="D401" s="7" t="s">
        <v>57</v>
      </c>
      <c r="E401" s="7" t="s">
        <v>59</v>
      </c>
      <c r="F401" s="5" t="s">
        <v>22</v>
      </c>
      <c r="G401" s="8">
        <f t="shared" si="25"/>
        <v>1</v>
      </c>
      <c r="H401" s="9"/>
      <c r="I401" s="9"/>
      <c r="J401" s="9">
        <f t="shared" si="24"/>
        <v>1</v>
      </c>
    </row>
    <row r="402" ht="54">
      <c r="A402" s="16" t="s">
        <v>42</v>
      </c>
      <c r="B402" s="18" t="s">
        <v>48</v>
      </c>
      <c r="C402" s="7" t="s">
        <v>60</v>
      </c>
      <c r="D402" s="7" t="s">
        <v>61</v>
      </c>
      <c r="E402" s="7" t="s">
        <v>62</v>
      </c>
      <c r="F402" s="5" t="s">
        <v>22</v>
      </c>
      <c r="G402" s="8">
        <f t="shared" si="25"/>
        <v>1</v>
      </c>
      <c r="H402" s="9"/>
      <c r="I402" s="9"/>
      <c r="J402" s="9">
        <f t="shared" si="24"/>
        <v>1</v>
      </c>
    </row>
    <row r="403" ht="90">
      <c r="A403" s="16" t="s">
        <v>42</v>
      </c>
      <c r="B403" s="15" t="s">
        <v>48</v>
      </c>
      <c r="C403" s="7" t="s">
        <v>60</v>
      </c>
      <c r="D403" s="7" t="s">
        <v>61</v>
      </c>
      <c r="E403" s="7" t="s">
        <v>63</v>
      </c>
      <c r="F403" s="5" t="s">
        <v>22</v>
      </c>
      <c r="G403" s="8">
        <f t="shared" si="25"/>
        <v>1</v>
      </c>
      <c r="H403" s="9"/>
      <c r="I403" s="9"/>
      <c r="J403" s="9">
        <f t="shared" si="24"/>
        <v>1</v>
      </c>
    </row>
    <row r="404" ht="54">
      <c r="A404" s="16" t="s">
        <v>42</v>
      </c>
      <c r="B404" s="18" t="s">
        <v>48</v>
      </c>
      <c r="C404" s="7" t="s">
        <v>60</v>
      </c>
      <c r="D404" s="7" t="s">
        <v>61</v>
      </c>
      <c r="E404" s="7" t="s">
        <v>64</v>
      </c>
      <c r="F404" s="5" t="s">
        <v>22</v>
      </c>
      <c r="G404" s="8">
        <f t="shared" si="25"/>
        <v>1</v>
      </c>
      <c r="H404" s="9"/>
      <c r="I404" s="9"/>
      <c r="J404" s="9">
        <f t="shared" si="24"/>
        <v>1</v>
      </c>
    </row>
    <row r="405" ht="54">
      <c r="A405" s="16" t="s">
        <v>42</v>
      </c>
      <c r="B405" s="15" t="s">
        <v>48</v>
      </c>
      <c r="C405" s="7" t="s">
        <v>65</v>
      </c>
      <c r="D405" s="7" t="s">
        <v>66</v>
      </c>
      <c r="E405" s="7" t="s">
        <v>67</v>
      </c>
      <c r="F405" s="5" t="s">
        <v>22</v>
      </c>
      <c r="G405" s="8">
        <f t="shared" si="25"/>
        <v>1</v>
      </c>
      <c r="H405" s="9"/>
      <c r="I405" s="9"/>
      <c r="J405" s="9">
        <f t="shared" si="24"/>
        <v>1</v>
      </c>
    </row>
    <row r="406" ht="72">
      <c r="A406" s="16" t="s">
        <v>42</v>
      </c>
      <c r="B406" s="18" t="s">
        <v>48</v>
      </c>
      <c r="C406" s="7" t="s">
        <v>65</v>
      </c>
      <c r="D406" s="7" t="s">
        <v>66</v>
      </c>
      <c r="E406" s="7" t="s">
        <v>68</v>
      </c>
      <c r="F406" s="5" t="s">
        <v>22</v>
      </c>
      <c r="G406" s="8">
        <f t="shared" si="25"/>
        <v>1</v>
      </c>
      <c r="H406" s="9"/>
      <c r="I406" s="9"/>
      <c r="J406" s="9">
        <f t="shared" si="24"/>
        <v>1</v>
      </c>
    </row>
    <row r="407" ht="54">
      <c r="A407" s="16" t="s">
        <v>42</v>
      </c>
      <c r="B407" s="15" t="s">
        <v>48</v>
      </c>
      <c r="C407" s="7" t="s">
        <v>65</v>
      </c>
      <c r="D407" s="7" t="s">
        <v>66</v>
      </c>
      <c r="E407" s="7" t="s">
        <v>69</v>
      </c>
      <c r="F407" s="5" t="s">
        <v>22</v>
      </c>
      <c r="G407" s="8">
        <f t="shared" si="25"/>
        <v>1</v>
      </c>
      <c r="H407" s="9"/>
      <c r="I407" s="9"/>
      <c r="J407" s="9">
        <f t="shared" si="24"/>
        <v>1</v>
      </c>
    </row>
    <row r="408" ht="72">
      <c r="A408" s="16" t="s">
        <v>42</v>
      </c>
      <c r="B408" s="18" t="s">
        <v>48</v>
      </c>
      <c r="C408" s="7" t="s">
        <v>71</v>
      </c>
      <c r="D408" s="7" t="s">
        <v>72</v>
      </c>
      <c r="E408" s="7" t="s">
        <v>73</v>
      </c>
      <c r="F408" s="5" t="s">
        <v>22</v>
      </c>
      <c r="G408" s="8">
        <f t="shared" si="25"/>
        <v>1</v>
      </c>
      <c r="H408" s="9"/>
      <c r="I408" s="9"/>
      <c r="J408" s="9">
        <f t="shared" si="24"/>
        <v>1</v>
      </c>
    </row>
    <row r="409" ht="72">
      <c r="A409" s="16" t="s">
        <v>42</v>
      </c>
      <c r="B409" s="15" t="s">
        <v>48</v>
      </c>
      <c r="C409" s="7" t="s">
        <v>71</v>
      </c>
      <c r="D409" s="7" t="s">
        <v>72</v>
      </c>
      <c r="E409" s="7" t="s">
        <v>75</v>
      </c>
      <c r="F409" s="5" t="s">
        <v>22</v>
      </c>
      <c r="G409" s="8">
        <f t="shared" si="25"/>
        <v>1</v>
      </c>
      <c r="H409" s="9"/>
      <c r="I409" s="9"/>
      <c r="J409" s="9">
        <f t="shared" si="24"/>
        <v>1</v>
      </c>
    </row>
    <row r="410" ht="72">
      <c r="A410" s="16" t="s">
        <v>42</v>
      </c>
      <c r="B410" s="18" t="s">
        <v>48</v>
      </c>
      <c r="C410" s="7" t="s">
        <v>71</v>
      </c>
      <c r="D410" s="7" t="s">
        <v>72</v>
      </c>
      <c r="E410" s="7" t="s">
        <v>76</v>
      </c>
      <c r="F410" s="5" t="s">
        <v>22</v>
      </c>
      <c r="G410" s="8">
        <f t="shared" si="25"/>
        <v>1</v>
      </c>
      <c r="H410" s="9"/>
      <c r="I410" s="9"/>
      <c r="J410" s="9">
        <f t="shared" si="24"/>
        <v>1</v>
      </c>
    </row>
    <row r="411" ht="72">
      <c r="A411" s="16" t="s">
        <v>42</v>
      </c>
      <c r="B411" s="15" t="s">
        <v>48</v>
      </c>
      <c r="C411" s="7" t="s">
        <v>71</v>
      </c>
      <c r="D411" s="7" t="s">
        <v>72</v>
      </c>
      <c r="E411" s="7" t="s">
        <v>77</v>
      </c>
      <c r="F411" s="5" t="s">
        <v>22</v>
      </c>
      <c r="G411" s="8">
        <f t="shared" si="25"/>
        <v>1</v>
      </c>
      <c r="H411" s="9"/>
      <c r="I411" s="9"/>
      <c r="J411" s="9">
        <f t="shared" si="24"/>
        <v>1</v>
      </c>
    </row>
    <row r="412" ht="54">
      <c r="A412" s="16" t="s">
        <v>42</v>
      </c>
      <c r="B412" s="18" t="s">
        <v>48</v>
      </c>
      <c r="C412" s="7" t="s">
        <v>78</v>
      </c>
      <c r="D412" s="7" t="s">
        <v>79</v>
      </c>
      <c r="E412" s="7" t="s">
        <v>80</v>
      </c>
      <c r="F412" s="5" t="s">
        <v>22</v>
      </c>
      <c r="G412" s="8">
        <f t="shared" si="25"/>
        <v>1</v>
      </c>
      <c r="H412" s="9"/>
      <c r="I412" s="9"/>
      <c r="J412" s="9">
        <f t="shared" si="24"/>
        <v>1</v>
      </c>
    </row>
    <row r="413" ht="54">
      <c r="A413" s="16" t="s">
        <v>42</v>
      </c>
      <c r="B413" s="15" t="s">
        <v>48</v>
      </c>
      <c r="C413" s="7" t="s">
        <v>78</v>
      </c>
      <c r="D413" s="7" t="s">
        <v>79</v>
      </c>
      <c r="E413" s="7" t="s">
        <v>81</v>
      </c>
      <c r="F413" s="5" t="s">
        <v>53</v>
      </c>
      <c r="G413" s="8">
        <f t="shared" si="25"/>
        <v>0</v>
      </c>
      <c r="H413" s="9"/>
      <c r="I413" s="9"/>
      <c r="J413" s="9">
        <f t="shared" si="24"/>
        <v>0</v>
      </c>
    </row>
    <row r="414" ht="54">
      <c r="A414" s="16" t="s">
        <v>42</v>
      </c>
      <c r="B414" s="18" t="s">
        <v>48</v>
      </c>
      <c r="C414" s="7" t="s">
        <v>78</v>
      </c>
      <c r="D414" s="7" t="s">
        <v>79</v>
      </c>
      <c r="E414" s="7" t="s">
        <v>82</v>
      </c>
      <c r="F414" s="5" t="s">
        <v>70</v>
      </c>
      <c r="G414" s="8">
        <f t="shared" si="25"/>
        <v>0.5</v>
      </c>
      <c r="H414" s="9"/>
      <c r="I414" s="9"/>
      <c r="J414" s="9">
        <f t="shared" si="24"/>
        <v>0.5</v>
      </c>
    </row>
    <row r="415" ht="72">
      <c r="A415" s="16" t="s">
        <v>42</v>
      </c>
      <c r="B415" s="15" t="s">
        <v>83</v>
      </c>
      <c r="C415" s="7" t="s">
        <v>84</v>
      </c>
      <c r="D415" s="7" t="s">
        <v>85</v>
      </c>
      <c r="E415" s="7" t="s">
        <v>86</v>
      </c>
      <c r="F415" s="5" t="s">
        <v>70</v>
      </c>
      <c r="G415" s="8">
        <f t="shared" si="25"/>
        <v>0.5</v>
      </c>
      <c r="H415" s="9"/>
      <c r="I415" s="9"/>
      <c r="J415" s="9">
        <f t="shared" si="24"/>
        <v>0.5</v>
      </c>
    </row>
    <row r="416" ht="72">
      <c r="A416" s="16" t="s">
        <v>42</v>
      </c>
      <c r="B416" s="18" t="s">
        <v>83</v>
      </c>
      <c r="C416" s="7" t="s">
        <v>84</v>
      </c>
      <c r="D416" s="7" t="s">
        <v>85</v>
      </c>
      <c r="E416" s="7" t="s">
        <v>87</v>
      </c>
      <c r="F416" s="5" t="s">
        <v>53</v>
      </c>
      <c r="G416" s="8">
        <f t="shared" si="25"/>
        <v>0</v>
      </c>
      <c r="H416" s="9"/>
      <c r="I416" s="9"/>
      <c r="J416" s="9">
        <f t="shared" si="24"/>
        <v>0</v>
      </c>
    </row>
    <row r="417" ht="72">
      <c r="A417" s="16" t="s">
        <v>42</v>
      </c>
      <c r="B417" s="15" t="s">
        <v>83</v>
      </c>
      <c r="C417" s="7" t="s">
        <v>84</v>
      </c>
      <c r="D417" s="7" t="s">
        <v>85</v>
      </c>
      <c r="E417" s="7" t="s">
        <v>88</v>
      </c>
      <c r="F417" s="5" t="s">
        <v>53</v>
      </c>
      <c r="G417" s="8">
        <f t="shared" si="25"/>
        <v>0</v>
      </c>
      <c r="H417" s="9"/>
      <c r="I417" s="9"/>
      <c r="J417" s="9">
        <f t="shared" si="24"/>
        <v>0</v>
      </c>
    </row>
    <row r="418" ht="54">
      <c r="A418" s="16" t="s">
        <v>42</v>
      </c>
      <c r="B418" s="18" t="s">
        <v>83</v>
      </c>
      <c r="C418" s="7" t="s">
        <v>84</v>
      </c>
      <c r="D418" s="7" t="s">
        <v>85</v>
      </c>
      <c r="E418" s="7" t="s">
        <v>89</v>
      </c>
      <c r="F418" s="5" t="s">
        <v>53</v>
      </c>
      <c r="G418" s="8">
        <f t="shared" si="25"/>
        <v>0</v>
      </c>
      <c r="H418" s="9"/>
      <c r="I418" s="9"/>
      <c r="J418" s="9">
        <f t="shared" si="24"/>
        <v>0</v>
      </c>
    </row>
    <row r="419" ht="54">
      <c r="A419" s="16" t="s">
        <v>42</v>
      </c>
      <c r="B419" s="15" t="s">
        <v>83</v>
      </c>
      <c r="C419" s="7" t="s">
        <v>84</v>
      </c>
      <c r="D419" s="7" t="s">
        <v>85</v>
      </c>
      <c r="E419" s="7" t="s">
        <v>90</v>
      </c>
      <c r="F419" s="5" t="s">
        <v>22</v>
      </c>
      <c r="G419" s="8">
        <f t="shared" si="25"/>
        <v>1</v>
      </c>
      <c r="H419" s="9"/>
      <c r="I419" s="9"/>
      <c r="J419" s="9">
        <f t="shared" si="24"/>
        <v>1</v>
      </c>
    </row>
    <row r="420" ht="90">
      <c r="A420" s="16" t="s">
        <v>42</v>
      </c>
      <c r="B420" s="18" t="s">
        <v>83</v>
      </c>
      <c r="C420" s="7" t="s">
        <v>91</v>
      </c>
      <c r="D420" s="7" t="s">
        <v>92</v>
      </c>
      <c r="E420" s="7" t="s">
        <v>93</v>
      </c>
      <c r="F420" s="5" t="s">
        <v>22</v>
      </c>
      <c r="G420" s="8">
        <f t="shared" si="25"/>
        <v>1</v>
      </c>
      <c r="H420" s="9"/>
      <c r="I420" s="9"/>
      <c r="J420" s="9">
        <f t="shared" si="24"/>
        <v>1</v>
      </c>
    </row>
    <row r="421" ht="90">
      <c r="A421" s="16" t="s">
        <v>42</v>
      </c>
      <c r="B421" s="15" t="s">
        <v>83</v>
      </c>
      <c r="C421" s="7" t="s">
        <v>91</v>
      </c>
      <c r="D421" s="7" t="s">
        <v>92</v>
      </c>
      <c r="E421" s="7" t="s">
        <v>94</v>
      </c>
      <c r="F421" s="5" t="s">
        <v>22</v>
      </c>
      <c r="G421" s="8">
        <f t="shared" si="25"/>
        <v>1</v>
      </c>
      <c r="H421" s="9"/>
      <c r="I421" s="9"/>
      <c r="J421" s="9">
        <f t="shared" si="24"/>
        <v>1</v>
      </c>
    </row>
    <row r="422" ht="90">
      <c r="A422" s="16" t="s">
        <v>42</v>
      </c>
      <c r="B422" s="18" t="s">
        <v>83</v>
      </c>
      <c r="C422" s="7" t="s">
        <v>91</v>
      </c>
      <c r="D422" s="7" t="s">
        <v>92</v>
      </c>
      <c r="E422" s="7" t="s">
        <v>96</v>
      </c>
      <c r="F422" s="5" t="s">
        <v>22</v>
      </c>
      <c r="G422" s="8">
        <f t="shared" si="25"/>
        <v>1</v>
      </c>
      <c r="H422" s="9"/>
      <c r="I422" s="9"/>
      <c r="J422" s="9">
        <f t="shared" si="24"/>
        <v>1</v>
      </c>
    </row>
    <row r="423" ht="90">
      <c r="A423" s="16" t="s">
        <v>42</v>
      </c>
      <c r="B423" s="15" t="s">
        <v>83</v>
      </c>
      <c r="C423" s="7" t="s">
        <v>91</v>
      </c>
      <c r="D423" s="7" t="s">
        <v>92</v>
      </c>
      <c r="E423" s="7" t="s">
        <v>97</v>
      </c>
      <c r="F423" s="5" t="s">
        <v>22</v>
      </c>
      <c r="G423" s="8">
        <f t="shared" si="25"/>
        <v>1</v>
      </c>
      <c r="H423" s="9"/>
      <c r="I423" s="9"/>
      <c r="J423" s="9">
        <f t="shared" si="24"/>
        <v>1</v>
      </c>
    </row>
    <row r="424" ht="54">
      <c r="A424" s="16" t="s">
        <v>42</v>
      </c>
      <c r="B424" s="18" t="s">
        <v>83</v>
      </c>
      <c r="C424" s="7" t="s">
        <v>98</v>
      </c>
      <c r="D424" s="7" t="s">
        <v>99</v>
      </c>
      <c r="E424" s="7" t="s">
        <v>100</v>
      </c>
      <c r="F424" s="5" t="s">
        <v>22</v>
      </c>
      <c r="G424" s="8">
        <f t="shared" si="25"/>
        <v>1</v>
      </c>
      <c r="H424" s="9"/>
      <c r="I424" s="9"/>
      <c r="J424" s="9">
        <f t="shared" si="24"/>
        <v>1</v>
      </c>
    </row>
    <row r="425" ht="54">
      <c r="A425" s="16" t="s">
        <v>42</v>
      </c>
      <c r="B425" s="15" t="s">
        <v>83</v>
      </c>
      <c r="C425" s="7" t="s">
        <v>98</v>
      </c>
      <c r="D425" s="7" t="s">
        <v>99</v>
      </c>
      <c r="E425" s="7" t="s">
        <v>101</v>
      </c>
      <c r="F425" s="5" t="s">
        <v>53</v>
      </c>
      <c r="G425" s="8">
        <f t="shared" si="25"/>
        <v>0</v>
      </c>
      <c r="H425" s="9"/>
      <c r="I425" s="9"/>
      <c r="J425" s="9">
        <f t="shared" si="24"/>
        <v>0</v>
      </c>
    </row>
    <row r="426" ht="72">
      <c r="A426" s="16" t="s">
        <v>42</v>
      </c>
      <c r="B426" s="18" t="s">
        <v>83</v>
      </c>
      <c r="C426" s="7" t="s">
        <v>98</v>
      </c>
      <c r="D426" s="7" t="s">
        <v>99</v>
      </c>
      <c r="E426" s="7" t="s">
        <v>102</v>
      </c>
      <c r="F426" s="5" t="s">
        <v>22</v>
      </c>
      <c r="G426" s="8">
        <f t="shared" si="25"/>
        <v>1</v>
      </c>
      <c r="H426" s="9"/>
      <c r="I426" s="9"/>
      <c r="J426" s="9">
        <f t="shared" si="24"/>
        <v>1</v>
      </c>
    </row>
    <row r="427" ht="72">
      <c r="A427" s="16" t="s">
        <v>42</v>
      </c>
      <c r="B427" s="15" t="s">
        <v>83</v>
      </c>
      <c r="C427" s="7" t="s">
        <v>103</v>
      </c>
      <c r="D427" s="7" t="s">
        <v>104</v>
      </c>
      <c r="E427" s="7" t="s">
        <v>105</v>
      </c>
      <c r="F427" s="5" t="s">
        <v>22</v>
      </c>
      <c r="G427" s="8">
        <f t="shared" si="25"/>
        <v>1</v>
      </c>
      <c r="H427" s="9"/>
      <c r="I427" s="9"/>
      <c r="J427" s="9">
        <f t="shared" si="24"/>
        <v>1</v>
      </c>
    </row>
    <row r="428" ht="54">
      <c r="A428" s="16" t="s">
        <v>42</v>
      </c>
      <c r="B428" s="18" t="s">
        <v>83</v>
      </c>
      <c r="C428" s="7" t="s">
        <v>103</v>
      </c>
      <c r="D428" s="7" t="s">
        <v>104</v>
      </c>
      <c r="E428" s="7" t="s">
        <v>106</v>
      </c>
      <c r="F428" s="5" t="s">
        <v>22</v>
      </c>
      <c r="G428" s="8">
        <f t="shared" si="25"/>
        <v>1</v>
      </c>
      <c r="H428" s="9"/>
      <c r="I428" s="9"/>
      <c r="J428" s="9">
        <f t="shared" si="24"/>
        <v>1</v>
      </c>
    </row>
    <row r="429" ht="72">
      <c r="A429" s="16" t="s">
        <v>42</v>
      </c>
      <c r="B429" s="15" t="s">
        <v>83</v>
      </c>
      <c r="C429" s="7" t="s">
        <v>103</v>
      </c>
      <c r="D429" s="7" t="s">
        <v>104</v>
      </c>
      <c r="E429" s="7" t="s">
        <v>107</v>
      </c>
      <c r="F429" s="5" t="s">
        <v>22</v>
      </c>
      <c r="G429" s="8">
        <f t="shared" si="25"/>
        <v>1</v>
      </c>
      <c r="H429" s="9"/>
      <c r="I429" s="9"/>
      <c r="J429" s="9">
        <f t="shared" si="24"/>
        <v>1</v>
      </c>
    </row>
    <row r="430" ht="72">
      <c r="A430" s="16" t="s">
        <v>42</v>
      </c>
      <c r="B430" s="17" t="s">
        <v>108</v>
      </c>
      <c r="C430" s="7" t="s">
        <v>109</v>
      </c>
      <c r="D430" s="7" t="s">
        <v>110</v>
      </c>
      <c r="E430" s="7" t="s">
        <v>111</v>
      </c>
      <c r="F430" s="5" t="s">
        <v>22</v>
      </c>
      <c r="G430" s="8">
        <f t="shared" si="25"/>
        <v>1</v>
      </c>
      <c r="H430" s="9"/>
      <c r="I430" s="9"/>
      <c r="J430" s="9">
        <f t="shared" si="24"/>
        <v>1</v>
      </c>
    </row>
    <row r="431" ht="54">
      <c r="A431" s="16" t="s">
        <v>42</v>
      </c>
      <c r="B431" s="6" t="s">
        <v>108</v>
      </c>
      <c r="C431" s="7" t="s">
        <v>109</v>
      </c>
      <c r="D431" s="7" t="s">
        <v>110</v>
      </c>
      <c r="E431" s="7" t="s">
        <v>112</v>
      </c>
      <c r="F431" s="5" t="s">
        <v>22</v>
      </c>
      <c r="G431" s="8">
        <f t="shared" si="25"/>
        <v>1</v>
      </c>
      <c r="H431" s="9"/>
      <c r="I431" s="9"/>
      <c r="J431" s="9">
        <f t="shared" si="24"/>
        <v>1</v>
      </c>
    </row>
    <row r="432" ht="72">
      <c r="A432" s="16" t="s">
        <v>42</v>
      </c>
      <c r="B432" s="17" t="s">
        <v>108</v>
      </c>
      <c r="C432" s="7" t="s">
        <v>109</v>
      </c>
      <c r="D432" s="7" t="s">
        <v>110</v>
      </c>
      <c r="E432" s="7" t="s">
        <v>113</v>
      </c>
      <c r="F432" s="5" t="s">
        <v>22</v>
      </c>
      <c r="G432" s="8">
        <f t="shared" si="25"/>
        <v>1</v>
      </c>
      <c r="H432" s="9"/>
      <c r="I432" s="9"/>
      <c r="J432" s="9">
        <f t="shared" si="24"/>
        <v>1</v>
      </c>
    </row>
    <row r="433" ht="72">
      <c r="A433" s="16" t="s">
        <v>42</v>
      </c>
      <c r="B433" s="6" t="s">
        <v>108</v>
      </c>
      <c r="C433" s="7" t="s">
        <v>109</v>
      </c>
      <c r="D433" s="7" t="s">
        <v>110</v>
      </c>
      <c r="E433" s="7" t="s">
        <v>114</v>
      </c>
      <c r="F433" s="5" t="s">
        <v>22</v>
      </c>
      <c r="G433" s="8">
        <f t="shared" si="25"/>
        <v>1</v>
      </c>
      <c r="H433" s="9"/>
      <c r="I433" s="9"/>
      <c r="J433" s="9">
        <f t="shared" si="24"/>
        <v>1</v>
      </c>
    </row>
    <row r="434" ht="72">
      <c r="A434" s="16" t="s">
        <v>42</v>
      </c>
      <c r="B434" s="17" t="s">
        <v>108</v>
      </c>
      <c r="C434" s="7" t="s">
        <v>115</v>
      </c>
      <c r="D434" s="7" t="s">
        <v>116</v>
      </c>
      <c r="E434" s="7" t="s">
        <v>117</v>
      </c>
      <c r="F434" s="5" t="s">
        <v>22</v>
      </c>
      <c r="G434" s="8">
        <f t="shared" si="25"/>
        <v>1</v>
      </c>
      <c r="H434" s="9"/>
      <c r="I434" s="9"/>
      <c r="J434" s="9">
        <f t="shared" si="24"/>
        <v>1</v>
      </c>
    </row>
    <row r="435" ht="72">
      <c r="A435" s="16" t="s">
        <v>42</v>
      </c>
      <c r="B435" s="6" t="s">
        <v>108</v>
      </c>
      <c r="C435" s="7" t="s">
        <v>115</v>
      </c>
      <c r="D435" s="7" t="s">
        <v>116</v>
      </c>
      <c r="E435" s="7" t="s">
        <v>118</v>
      </c>
      <c r="F435" s="5" t="s">
        <v>22</v>
      </c>
      <c r="G435" s="8">
        <f t="shared" si="25"/>
        <v>1</v>
      </c>
      <c r="H435" s="9"/>
      <c r="I435" s="9"/>
      <c r="J435" s="9">
        <f t="shared" si="24"/>
        <v>1</v>
      </c>
    </row>
    <row r="436" ht="72">
      <c r="A436" s="16" t="s">
        <v>42</v>
      </c>
      <c r="B436" s="17" t="s">
        <v>108</v>
      </c>
      <c r="C436" s="7" t="s">
        <v>115</v>
      </c>
      <c r="D436" s="7" t="s">
        <v>116</v>
      </c>
      <c r="E436" s="7" t="s">
        <v>119</v>
      </c>
      <c r="F436" s="5" t="s">
        <v>22</v>
      </c>
      <c r="G436" s="8">
        <f t="shared" si="25"/>
        <v>1</v>
      </c>
      <c r="H436" s="9"/>
      <c r="I436" s="9"/>
      <c r="J436" s="9">
        <f t="shared" si="24"/>
        <v>1</v>
      </c>
    </row>
    <row r="437" ht="54">
      <c r="A437" s="16" t="s">
        <v>42</v>
      </c>
      <c r="B437" s="6" t="s">
        <v>108</v>
      </c>
      <c r="C437" s="7" t="s">
        <v>115</v>
      </c>
      <c r="D437" s="7" t="s">
        <v>116</v>
      </c>
      <c r="E437" s="7" t="s">
        <v>120</v>
      </c>
      <c r="F437" s="5" t="s">
        <v>22</v>
      </c>
      <c r="G437" s="8">
        <f t="shared" si="25"/>
        <v>1</v>
      </c>
      <c r="H437" s="9"/>
      <c r="I437" s="9"/>
      <c r="J437" s="9">
        <f t="shared" si="24"/>
        <v>1</v>
      </c>
    </row>
    <row r="438" ht="54">
      <c r="A438" s="16" t="s">
        <v>42</v>
      </c>
      <c r="B438" s="17" t="s">
        <v>108</v>
      </c>
      <c r="C438" s="7" t="s">
        <v>121</v>
      </c>
      <c r="D438" s="7" t="s">
        <v>122</v>
      </c>
      <c r="E438" s="7" t="s">
        <v>123</v>
      </c>
      <c r="F438" s="5" t="s">
        <v>22</v>
      </c>
      <c r="G438" s="8">
        <f t="shared" si="25"/>
        <v>1</v>
      </c>
      <c r="H438" s="9"/>
      <c r="I438" s="9"/>
      <c r="J438" s="9">
        <f t="shared" si="24"/>
        <v>1</v>
      </c>
    </row>
    <row r="439" ht="72">
      <c r="A439" s="16" t="s">
        <v>42</v>
      </c>
      <c r="B439" s="6" t="s">
        <v>108</v>
      </c>
      <c r="C439" s="7" t="s">
        <v>121</v>
      </c>
      <c r="D439" s="7" t="s">
        <v>122</v>
      </c>
      <c r="E439" s="7" t="s">
        <v>124</v>
      </c>
      <c r="F439" s="5" t="s">
        <v>22</v>
      </c>
      <c r="G439" s="8">
        <f t="shared" si="25"/>
        <v>1</v>
      </c>
      <c r="H439" s="9"/>
      <c r="I439" s="9"/>
      <c r="J439" s="9">
        <f t="shared" si="24"/>
        <v>1</v>
      </c>
    </row>
    <row r="440" ht="54">
      <c r="A440" s="16" t="s">
        <v>42</v>
      </c>
      <c r="B440" s="17" t="s">
        <v>108</v>
      </c>
      <c r="C440" s="7" t="s">
        <v>121</v>
      </c>
      <c r="D440" s="7" t="s">
        <v>122</v>
      </c>
      <c r="E440" s="7" t="s">
        <v>125</v>
      </c>
      <c r="F440" s="5" t="s">
        <v>22</v>
      </c>
      <c r="G440" s="8">
        <f t="shared" si="25"/>
        <v>1</v>
      </c>
      <c r="H440" s="9"/>
      <c r="I440" s="9"/>
      <c r="J440" s="9">
        <f t="shared" si="24"/>
        <v>1</v>
      </c>
    </row>
    <row r="441" ht="54">
      <c r="A441" s="16" t="s">
        <v>42</v>
      </c>
      <c r="B441" s="6" t="s">
        <v>108</v>
      </c>
      <c r="C441" s="7" t="s">
        <v>121</v>
      </c>
      <c r="D441" s="7" t="s">
        <v>122</v>
      </c>
      <c r="E441" s="7" t="s">
        <v>126</v>
      </c>
      <c r="F441" s="5" t="s">
        <v>53</v>
      </c>
      <c r="G441" s="8">
        <f t="shared" si="25"/>
        <v>0</v>
      </c>
      <c r="H441" s="9"/>
      <c r="I441" s="9"/>
      <c r="J441" s="9">
        <f t="shared" si="24"/>
        <v>0</v>
      </c>
    </row>
    <row r="442" ht="72">
      <c r="A442" s="16" t="s">
        <v>42</v>
      </c>
      <c r="B442" s="17" t="s">
        <v>108</v>
      </c>
      <c r="C442" s="7" t="s">
        <v>127</v>
      </c>
      <c r="D442" s="7" t="s">
        <v>128</v>
      </c>
      <c r="E442" s="7" t="s">
        <v>129</v>
      </c>
      <c r="F442" s="5" t="s">
        <v>22</v>
      </c>
      <c r="G442" s="8">
        <f t="shared" si="25"/>
        <v>1</v>
      </c>
      <c r="H442" s="9"/>
      <c r="I442" s="9"/>
      <c r="J442" s="9">
        <f t="shared" si="24"/>
        <v>1</v>
      </c>
    </row>
    <row r="443" ht="90">
      <c r="A443" s="16" t="s">
        <v>42</v>
      </c>
      <c r="B443" s="6" t="s">
        <v>108</v>
      </c>
      <c r="C443" s="7" t="s">
        <v>127</v>
      </c>
      <c r="D443" s="7" t="s">
        <v>128</v>
      </c>
      <c r="E443" s="7" t="s">
        <v>130</v>
      </c>
      <c r="F443" s="5" t="s">
        <v>22</v>
      </c>
      <c r="G443" s="8">
        <f t="shared" si="25"/>
        <v>1</v>
      </c>
      <c r="H443" s="9"/>
      <c r="I443" s="9"/>
      <c r="J443" s="9">
        <f t="shared" si="24"/>
        <v>1</v>
      </c>
    </row>
    <row r="444" ht="54">
      <c r="A444" s="16" t="s">
        <v>42</v>
      </c>
      <c r="B444" s="17" t="s">
        <v>108</v>
      </c>
      <c r="C444" s="7" t="s">
        <v>127</v>
      </c>
      <c r="D444" s="7" t="s">
        <v>128</v>
      </c>
      <c r="E444" s="7" t="s">
        <v>131</v>
      </c>
      <c r="F444" s="5" t="s">
        <v>22</v>
      </c>
      <c r="G444" s="8">
        <f t="shared" si="25"/>
        <v>1</v>
      </c>
      <c r="H444" s="9"/>
      <c r="I444" s="9"/>
      <c r="J444" s="9">
        <f t="shared" si="24"/>
        <v>1</v>
      </c>
    </row>
    <row r="445" ht="72">
      <c r="A445" s="16" t="s">
        <v>42</v>
      </c>
      <c r="B445" s="6" t="s">
        <v>108</v>
      </c>
      <c r="C445" s="7" t="s">
        <v>127</v>
      </c>
      <c r="D445" s="7" t="s">
        <v>128</v>
      </c>
      <c r="E445" s="7" t="s">
        <v>132</v>
      </c>
      <c r="F445" s="5" t="s">
        <v>22</v>
      </c>
      <c r="G445" s="8">
        <f t="shared" si="25"/>
        <v>1</v>
      </c>
      <c r="H445" s="9"/>
      <c r="I445" s="9"/>
      <c r="J445" s="9">
        <f t="shared" si="24"/>
        <v>1</v>
      </c>
    </row>
    <row r="446" ht="90">
      <c r="A446" s="16" t="s">
        <v>42</v>
      </c>
      <c r="B446" s="17" t="s">
        <v>108</v>
      </c>
      <c r="C446" s="7" t="s">
        <v>133</v>
      </c>
      <c r="D446" s="7" t="s">
        <v>134</v>
      </c>
      <c r="E446" s="7" t="s">
        <v>135</v>
      </c>
      <c r="F446" s="5" t="s">
        <v>22</v>
      </c>
      <c r="G446" s="8">
        <f t="shared" si="25"/>
        <v>1</v>
      </c>
      <c r="H446" s="9"/>
      <c r="I446" s="9"/>
      <c r="J446" s="9">
        <f t="shared" si="24"/>
        <v>1</v>
      </c>
    </row>
    <row r="447" ht="90">
      <c r="A447" s="16" t="s">
        <v>42</v>
      </c>
      <c r="B447" s="6" t="s">
        <v>108</v>
      </c>
      <c r="C447" s="7" t="s">
        <v>133</v>
      </c>
      <c r="D447" s="7" t="s">
        <v>134</v>
      </c>
      <c r="E447" s="7" t="s">
        <v>136</v>
      </c>
      <c r="F447" s="5" t="s">
        <v>53</v>
      </c>
      <c r="G447" s="8">
        <f t="shared" si="25"/>
        <v>0</v>
      </c>
      <c r="H447" s="9"/>
      <c r="I447" s="9"/>
      <c r="J447" s="9">
        <f t="shared" si="24"/>
        <v>0</v>
      </c>
    </row>
    <row r="448" ht="72">
      <c r="A448" s="16" t="s">
        <v>42</v>
      </c>
      <c r="B448" s="17" t="s">
        <v>108</v>
      </c>
      <c r="C448" s="7" t="s">
        <v>133</v>
      </c>
      <c r="D448" s="7" t="s">
        <v>134</v>
      </c>
      <c r="E448" s="7" t="s">
        <v>137</v>
      </c>
      <c r="F448" s="5" t="s">
        <v>70</v>
      </c>
      <c r="G448" s="8">
        <f t="shared" si="25"/>
        <v>0.5</v>
      </c>
      <c r="H448" s="9"/>
      <c r="I448" s="9"/>
      <c r="J448" s="9">
        <f t="shared" si="24"/>
        <v>0.5</v>
      </c>
    </row>
    <row r="449" ht="72">
      <c r="A449" s="16" t="s">
        <v>42</v>
      </c>
      <c r="B449" s="6" t="s">
        <v>108</v>
      </c>
      <c r="C449" s="7" t="s">
        <v>133</v>
      </c>
      <c r="D449" s="7" t="s">
        <v>134</v>
      </c>
      <c r="E449" s="7" t="s">
        <v>138</v>
      </c>
      <c r="F449" s="5" t="s">
        <v>22</v>
      </c>
      <c r="G449" s="20">
        <f t="shared" si="25"/>
        <v>1</v>
      </c>
      <c r="H449" s="9"/>
      <c r="I449" s="9"/>
      <c r="J449" s="9">
        <f t="shared" si="24"/>
        <v>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E1" zoomScale="70" workbookViewId="0">
      <selection activeCell="J2" activeCellId="0" sqref="J2"/>
    </sheetView>
  </sheetViews>
  <sheetFormatPr baseColWidth="10" defaultRowHeight="15"/>
  <cols>
    <col customWidth="1" min="1" max="1" width="13.28515625"/>
    <col customWidth="1" min="2" max="2" width="40.85546875"/>
    <col customWidth="1" min="3" max="3" width="25.85546875"/>
    <col customWidth="1" min="4" max="4" width="51"/>
    <col customWidth="1" min="5" max="5" width="74.28515625"/>
    <col customWidth="1" min="6" max="6" width="24.5703125"/>
    <col customWidth="1" min="7" max="7" width="14.7109375"/>
    <col customWidth="1" min="8" max="8" width="13.7109375"/>
    <col customWidth="1" min="9" max="9" width="17.5703125"/>
    <col customWidth="1" min="10" max="10" width="15.5703125"/>
    <col customWidth="1" min="19" max="19" width="14.140625"/>
  </cols>
  <sheetData>
    <row r="1" ht="36">
      <c r="A1" s="21" t="s">
        <v>0</v>
      </c>
      <c r="B1" s="22" t="s">
        <v>1</v>
      </c>
      <c r="C1" s="22" t="s">
        <v>2</v>
      </c>
      <c r="D1" s="22" t="s">
        <v>3</v>
      </c>
      <c r="E1" s="22" t="s">
        <v>4</v>
      </c>
      <c r="F1" s="22" t="s">
        <v>5</v>
      </c>
      <c r="G1" s="23" t="s">
        <v>141</v>
      </c>
      <c r="H1" s="23" t="s">
        <v>142</v>
      </c>
      <c r="I1" s="22" t="s">
        <v>8</v>
      </c>
      <c r="J1" s="22" t="s">
        <v>143</v>
      </c>
      <c r="M1" s="4" t="s">
        <v>10</v>
      </c>
      <c r="N1" s="4" t="s">
        <v>11</v>
      </c>
      <c r="O1" s="4" t="s">
        <v>12</v>
      </c>
      <c r="P1" s="4" t="s">
        <v>13</v>
      </c>
      <c r="Q1" s="4" t="s">
        <v>14</v>
      </c>
      <c r="R1" s="4" t="s">
        <v>15</v>
      </c>
      <c r="S1" s="4" t="s">
        <v>16</v>
      </c>
    </row>
    <row r="2" ht="72">
      <c r="A2" s="24" t="s">
        <v>17</v>
      </c>
      <c r="B2" s="25" t="s">
        <v>144</v>
      </c>
      <c r="C2" s="26" t="s">
        <v>145</v>
      </c>
      <c r="D2" s="25" t="s">
        <v>146</v>
      </c>
      <c r="E2" s="26" t="s">
        <v>147</v>
      </c>
      <c r="F2" s="27" t="s">
        <v>22</v>
      </c>
      <c r="G2" s="28">
        <f t="shared" ref="G2:G65" si="26">IF(F2="Cumple",1,IF(F2="Cumple Parcialmente",0.5,IF(F2="No Cumple",0,"")))</f>
        <v>1</v>
      </c>
      <c r="H2" s="9" t="s">
        <v>22</v>
      </c>
      <c r="I2" s="9">
        <f t="shared" ref="I2:I65" si="27">IF(H2="Cumple",1,IF(H2="Cumple Parcialmente",0.5,IF(H2="No Cumple",0,"")))</f>
        <v>1</v>
      </c>
      <c r="J2" s="9">
        <f t="shared" ref="J2:J65" si="28">AVERAGE(G2,I2)</f>
        <v>1</v>
      </c>
      <c r="M2" s="10" t="s">
        <v>17</v>
      </c>
      <c r="N2" s="10">
        <f>SUM(G2:G47)</f>
        <v>43.5</v>
      </c>
      <c r="O2" s="10">
        <f t="shared" ref="O2:O8" si="29">ROUND((N2/46)*100,2)</f>
        <v>94.569999999999993</v>
      </c>
      <c r="P2" s="10">
        <f>SUM(I2:I47)</f>
        <v>39</v>
      </c>
      <c r="Q2" s="10">
        <f t="shared" ref="Q2:Q8" si="30">ROUND((P2/64)*100,2)</f>
        <v>60.939999999999998</v>
      </c>
      <c r="R2" s="11">
        <f t="shared" ref="R2:R8" si="31">AVERAGE(N2,P2)</f>
        <v>41.25</v>
      </c>
      <c r="S2" s="12">
        <f t="shared" ref="S2:S8" si="32">ROUND((R2/64)*100,2)</f>
        <v>64.450000000000003</v>
      </c>
    </row>
    <row r="3" ht="54">
      <c r="A3" s="24" t="s">
        <v>17</v>
      </c>
      <c r="B3" s="25" t="s">
        <v>144</v>
      </c>
      <c r="C3" s="26" t="s">
        <v>145</v>
      </c>
      <c r="D3" s="25" t="s">
        <v>146</v>
      </c>
      <c r="E3" s="26" t="s">
        <v>148</v>
      </c>
      <c r="F3" s="27" t="s">
        <v>22</v>
      </c>
      <c r="G3" s="28">
        <f t="shared" si="26"/>
        <v>1</v>
      </c>
      <c r="H3" s="9" t="s">
        <v>70</v>
      </c>
      <c r="I3" s="9">
        <f t="shared" si="27"/>
        <v>0.5</v>
      </c>
      <c r="J3" s="9">
        <f t="shared" si="28"/>
        <v>0.75</v>
      </c>
      <c r="M3" s="10" t="s">
        <v>25</v>
      </c>
      <c r="N3" s="10">
        <f>SUM(G48:G93)</f>
        <v>25.5</v>
      </c>
      <c r="O3" s="10">
        <f t="shared" si="29"/>
        <v>55.43</v>
      </c>
      <c r="P3" s="10">
        <f>SUM(I48:I93)</f>
        <v>25.5</v>
      </c>
      <c r="Q3" s="10">
        <f t="shared" si="30"/>
        <v>39.840000000000003</v>
      </c>
      <c r="R3" s="11">
        <f t="shared" si="31"/>
        <v>25.5</v>
      </c>
      <c r="S3" s="12">
        <f t="shared" si="32"/>
        <v>39.840000000000003</v>
      </c>
    </row>
    <row r="4" ht="72">
      <c r="A4" s="24" t="s">
        <v>17</v>
      </c>
      <c r="B4" s="25" t="s">
        <v>144</v>
      </c>
      <c r="C4" s="26" t="s">
        <v>145</v>
      </c>
      <c r="D4" s="25" t="s">
        <v>146</v>
      </c>
      <c r="E4" s="26" t="s">
        <v>149</v>
      </c>
      <c r="F4" s="27" t="s">
        <v>22</v>
      </c>
      <c r="G4" s="28">
        <f t="shared" si="26"/>
        <v>1</v>
      </c>
      <c r="H4" s="9" t="s">
        <v>70</v>
      </c>
      <c r="I4" s="9">
        <f t="shared" si="27"/>
        <v>0.5</v>
      </c>
      <c r="J4" s="9">
        <f t="shared" si="28"/>
        <v>0.75</v>
      </c>
      <c r="M4" s="10" t="s">
        <v>29</v>
      </c>
      <c r="N4" s="10">
        <f>SUM(G94:G139)</f>
        <v>13</v>
      </c>
      <c r="O4" s="10">
        <f t="shared" si="29"/>
        <v>28.260000000000002</v>
      </c>
      <c r="P4" s="10">
        <f>SUM(I94:I139)</f>
        <v>12.5</v>
      </c>
      <c r="Q4" s="10">
        <f t="shared" si="30"/>
        <v>19.530000000000001</v>
      </c>
      <c r="R4" s="11">
        <f t="shared" si="31"/>
        <v>12.75</v>
      </c>
      <c r="S4" s="12">
        <f t="shared" si="32"/>
        <v>19.920000000000002</v>
      </c>
    </row>
    <row r="5" ht="72">
      <c r="A5" s="24" t="s">
        <v>17</v>
      </c>
      <c r="B5" s="25" t="s">
        <v>144</v>
      </c>
      <c r="C5" s="26" t="s">
        <v>145</v>
      </c>
      <c r="D5" s="25" t="s">
        <v>146</v>
      </c>
      <c r="E5" s="26" t="s">
        <v>150</v>
      </c>
      <c r="F5" s="27" t="s">
        <v>70</v>
      </c>
      <c r="G5" s="28">
        <f t="shared" si="26"/>
        <v>0.5</v>
      </c>
      <c r="H5" s="9" t="str">
        <f>IF(OR(F5="No Cumple", F5="Cumple Parcialmente"), F5, "")</f>
        <v xml:space="preserve">Cumple Parcialmente</v>
      </c>
      <c r="I5" s="9">
        <f t="shared" si="27"/>
        <v>0.5</v>
      </c>
      <c r="J5" s="9">
        <f t="shared" si="28"/>
        <v>0.5</v>
      </c>
      <c r="M5" s="10" t="s">
        <v>32</v>
      </c>
      <c r="N5" s="10">
        <f>SUM(G140:G185)</f>
        <v>32</v>
      </c>
      <c r="O5" s="10">
        <f t="shared" si="29"/>
        <v>69.569999999999993</v>
      </c>
      <c r="P5" s="10">
        <f>SUM(I140:I185)</f>
        <v>31</v>
      </c>
      <c r="Q5" s="10">
        <f t="shared" si="30"/>
        <v>48.439999999999998</v>
      </c>
      <c r="R5" s="11">
        <f t="shared" si="31"/>
        <v>31.5</v>
      </c>
      <c r="S5" s="12">
        <f t="shared" si="32"/>
        <v>49.219999999999999</v>
      </c>
    </row>
    <row r="6" ht="54">
      <c r="A6" s="24" t="s">
        <v>17</v>
      </c>
      <c r="B6" s="25" t="s">
        <v>144</v>
      </c>
      <c r="C6" s="26" t="s">
        <v>151</v>
      </c>
      <c r="D6" s="25" t="s">
        <v>152</v>
      </c>
      <c r="E6" s="26" t="s">
        <v>153</v>
      </c>
      <c r="F6" s="27" t="s">
        <v>22</v>
      </c>
      <c r="G6" s="28">
        <f t="shared" si="26"/>
        <v>1</v>
      </c>
      <c r="H6" s="9" t="s">
        <v>24</v>
      </c>
      <c r="I6" s="9">
        <f t="shared" si="27"/>
        <v>1</v>
      </c>
      <c r="J6" s="9">
        <f t="shared" si="28"/>
        <v>1</v>
      </c>
      <c r="M6" s="10" t="s">
        <v>36</v>
      </c>
      <c r="N6" s="10">
        <f>SUM(G186:G231)</f>
        <v>26.5</v>
      </c>
      <c r="O6" s="10">
        <f t="shared" si="29"/>
        <v>57.609999999999999</v>
      </c>
      <c r="P6" s="10">
        <f>SUM(I186:I231)</f>
        <v>25</v>
      </c>
      <c r="Q6" s="10">
        <f t="shared" si="30"/>
        <v>39.060000000000002</v>
      </c>
      <c r="R6" s="11">
        <f t="shared" si="31"/>
        <v>25.75</v>
      </c>
      <c r="S6" s="12">
        <f t="shared" si="32"/>
        <v>40.229999999999997</v>
      </c>
    </row>
    <row r="7" ht="72">
      <c r="A7" s="24" t="s">
        <v>17</v>
      </c>
      <c r="B7" s="25" t="s">
        <v>144</v>
      </c>
      <c r="C7" s="26" t="s">
        <v>151</v>
      </c>
      <c r="D7" s="25" t="s">
        <v>152</v>
      </c>
      <c r="E7" s="26" t="s">
        <v>154</v>
      </c>
      <c r="F7" s="27" t="s">
        <v>70</v>
      </c>
      <c r="G7" s="28">
        <f t="shared" si="26"/>
        <v>0.5</v>
      </c>
      <c r="H7" s="9" t="s">
        <v>24</v>
      </c>
      <c r="I7" s="9">
        <f t="shared" si="27"/>
        <v>1</v>
      </c>
      <c r="J7" s="9">
        <f t="shared" si="28"/>
        <v>0.75</v>
      </c>
      <c r="M7" s="10" t="s">
        <v>38</v>
      </c>
      <c r="N7" s="10">
        <f>SUM(G232:G277)</f>
        <v>21</v>
      </c>
      <c r="O7" s="10">
        <f t="shared" si="29"/>
        <v>45.649999999999999</v>
      </c>
      <c r="P7" s="10">
        <f>SUM(I232:I277)</f>
        <v>20</v>
      </c>
      <c r="Q7" s="10">
        <f t="shared" si="30"/>
        <v>31.25</v>
      </c>
      <c r="R7" s="11">
        <f t="shared" si="31"/>
        <v>20.5</v>
      </c>
      <c r="S7" s="12">
        <f t="shared" si="32"/>
        <v>32.030000000000001</v>
      </c>
    </row>
    <row r="8" ht="72">
      <c r="A8" s="24" t="s">
        <v>17</v>
      </c>
      <c r="B8" s="25" t="s">
        <v>144</v>
      </c>
      <c r="C8" s="26" t="s">
        <v>151</v>
      </c>
      <c r="D8" s="25" t="s">
        <v>152</v>
      </c>
      <c r="E8" s="26" t="s">
        <v>155</v>
      </c>
      <c r="F8" s="27" t="s">
        <v>22</v>
      </c>
      <c r="G8" s="28">
        <f t="shared" si="26"/>
        <v>1</v>
      </c>
      <c r="H8" s="9" t="s">
        <v>24</v>
      </c>
      <c r="I8" s="9">
        <f t="shared" si="27"/>
        <v>1</v>
      </c>
      <c r="J8" s="9">
        <f t="shared" si="28"/>
        <v>1</v>
      </c>
      <c r="M8" s="10" t="s">
        <v>42</v>
      </c>
      <c r="N8" s="10">
        <f>SUM(G278:G323)</f>
        <v>39.5</v>
      </c>
      <c r="O8" s="10">
        <f t="shared" si="29"/>
        <v>85.870000000000005</v>
      </c>
      <c r="P8" s="10">
        <f>SUM(I278:I323)</f>
        <v>36.5</v>
      </c>
      <c r="Q8" s="10">
        <f t="shared" si="30"/>
        <v>57.030000000000001</v>
      </c>
      <c r="R8" s="11">
        <f t="shared" si="31"/>
        <v>38</v>
      </c>
      <c r="S8" s="12">
        <f t="shared" si="32"/>
        <v>59.380000000000003</v>
      </c>
    </row>
    <row r="9" ht="54">
      <c r="A9" s="24" t="s">
        <v>17</v>
      </c>
      <c r="B9" s="25" t="s">
        <v>144</v>
      </c>
      <c r="C9" s="26" t="s">
        <v>151</v>
      </c>
      <c r="D9" s="25" t="s">
        <v>152</v>
      </c>
      <c r="E9" s="26" t="s">
        <v>156</v>
      </c>
      <c r="F9" s="27" t="s">
        <v>70</v>
      </c>
      <c r="G9" s="28">
        <f t="shared" si="26"/>
        <v>0.5</v>
      </c>
      <c r="H9" s="9" t="str">
        <f>IF(OR(F9="No Cumple", F9="Cumple Parcialmente"), F9, "")</f>
        <v xml:space="preserve">Cumple Parcialmente</v>
      </c>
      <c r="I9" s="9">
        <f t="shared" si="27"/>
        <v>0.5</v>
      </c>
      <c r="J9" s="9">
        <f t="shared" si="28"/>
        <v>0.5</v>
      </c>
    </row>
    <row r="10" ht="72">
      <c r="A10" s="24" t="s">
        <v>17</v>
      </c>
      <c r="B10" s="25" t="s">
        <v>144</v>
      </c>
      <c r="C10" s="26" t="s">
        <v>157</v>
      </c>
      <c r="D10" s="25" t="s">
        <v>158</v>
      </c>
      <c r="E10" s="26" t="s">
        <v>159</v>
      </c>
      <c r="F10" s="27" t="s">
        <v>22</v>
      </c>
      <c r="G10" s="28">
        <f t="shared" si="26"/>
        <v>1</v>
      </c>
      <c r="H10" s="9" t="s">
        <v>24</v>
      </c>
      <c r="I10" s="9">
        <f t="shared" si="27"/>
        <v>1</v>
      </c>
      <c r="J10" s="9">
        <f t="shared" si="28"/>
        <v>1</v>
      </c>
    </row>
    <row r="11" ht="72">
      <c r="A11" s="24" t="s">
        <v>17</v>
      </c>
      <c r="B11" s="25" t="s">
        <v>144</v>
      </c>
      <c r="C11" s="26" t="s">
        <v>157</v>
      </c>
      <c r="D11" s="25" t="s">
        <v>158</v>
      </c>
      <c r="E11" s="26" t="s">
        <v>160</v>
      </c>
      <c r="F11" s="27" t="s">
        <v>22</v>
      </c>
      <c r="G11" s="28">
        <f t="shared" si="26"/>
        <v>1</v>
      </c>
      <c r="H11" s="9" t="s">
        <v>24</v>
      </c>
      <c r="I11" s="9">
        <f t="shared" si="27"/>
        <v>1</v>
      </c>
      <c r="J11" s="9">
        <f t="shared" si="28"/>
        <v>1</v>
      </c>
    </row>
    <row r="12" ht="72">
      <c r="A12" s="24" t="s">
        <v>17</v>
      </c>
      <c r="B12" s="25" t="s">
        <v>144</v>
      </c>
      <c r="C12" s="26" t="s">
        <v>157</v>
      </c>
      <c r="D12" s="25" t="s">
        <v>158</v>
      </c>
      <c r="E12" s="26" t="s">
        <v>161</v>
      </c>
      <c r="F12" s="27" t="s">
        <v>22</v>
      </c>
      <c r="G12" s="28">
        <f t="shared" si="26"/>
        <v>1</v>
      </c>
      <c r="H12" s="9" t="s">
        <v>24</v>
      </c>
      <c r="I12" s="9">
        <f t="shared" si="27"/>
        <v>1</v>
      </c>
      <c r="J12" s="9">
        <f t="shared" si="28"/>
        <v>1</v>
      </c>
    </row>
    <row r="13" ht="72">
      <c r="A13" s="24" t="s">
        <v>17</v>
      </c>
      <c r="B13" s="25" t="s">
        <v>144</v>
      </c>
      <c r="C13" s="26" t="s">
        <v>157</v>
      </c>
      <c r="D13" s="25" t="s">
        <v>158</v>
      </c>
      <c r="E13" s="26" t="s">
        <v>162</v>
      </c>
      <c r="F13" s="27" t="s">
        <v>22</v>
      </c>
      <c r="G13" s="28">
        <f t="shared" si="26"/>
        <v>1</v>
      </c>
      <c r="H13" s="9" t="s">
        <v>24</v>
      </c>
      <c r="I13" s="9">
        <f t="shared" si="27"/>
        <v>1</v>
      </c>
      <c r="J13" s="9">
        <f t="shared" si="28"/>
        <v>1</v>
      </c>
    </row>
    <row r="14" ht="72">
      <c r="A14" s="24" t="s">
        <v>17</v>
      </c>
      <c r="B14" s="25" t="s">
        <v>144</v>
      </c>
      <c r="C14" s="26" t="s">
        <v>163</v>
      </c>
      <c r="D14" s="25" t="s">
        <v>163</v>
      </c>
      <c r="E14" s="26" t="s">
        <v>164</v>
      </c>
      <c r="F14" s="27" t="s">
        <v>22</v>
      </c>
      <c r="G14" s="28">
        <f t="shared" si="26"/>
        <v>1</v>
      </c>
      <c r="H14" s="9" t="s">
        <v>24</v>
      </c>
      <c r="I14" s="9">
        <f t="shared" si="27"/>
        <v>1</v>
      </c>
      <c r="J14" s="9">
        <f t="shared" si="28"/>
        <v>1</v>
      </c>
    </row>
    <row r="15" ht="72">
      <c r="A15" s="24" t="s">
        <v>17</v>
      </c>
      <c r="B15" s="25" t="s">
        <v>144</v>
      </c>
      <c r="C15" s="26" t="s">
        <v>163</v>
      </c>
      <c r="D15" s="25" t="s">
        <v>163</v>
      </c>
      <c r="E15" s="26" t="s">
        <v>165</v>
      </c>
      <c r="F15" s="27" t="s">
        <v>22</v>
      </c>
      <c r="G15" s="28">
        <f t="shared" si="26"/>
        <v>1</v>
      </c>
      <c r="H15" s="9" t="s">
        <v>24</v>
      </c>
      <c r="I15" s="9">
        <f t="shared" si="27"/>
        <v>1</v>
      </c>
      <c r="J15" s="9">
        <f t="shared" si="28"/>
        <v>1</v>
      </c>
    </row>
    <row r="16" ht="72">
      <c r="A16" s="24" t="s">
        <v>17</v>
      </c>
      <c r="B16" s="25" t="s">
        <v>144</v>
      </c>
      <c r="C16" s="26" t="s">
        <v>163</v>
      </c>
      <c r="D16" s="25" t="s">
        <v>163</v>
      </c>
      <c r="E16" s="26" t="s">
        <v>166</v>
      </c>
      <c r="F16" s="27" t="s">
        <v>22</v>
      </c>
      <c r="G16" s="28">
        <f t="shared" si="26"/>
        <v>1</v>
      </c>
      <c r="H16" s="9" t="s">
        <v>24</v>
      </c>
      <c r="I16" s="9">
        <f t="shared" si="27"/>
        <v>1</v>
      </c>
      <c r="J16" s="9">
        <f t="shared" si="28"/>
        <v>1</v>
      </c>
    </row>
    <row r="17" ht="54">
      <c r="A17" s="24" t="s">
        <v>17</v>
      </c>
      <c r="B17" s="25" t="s">
        <v>144</v>
      </c>
      <c r="C17" s="26" t="s">
        <v>163</v>
      </c>
      <c r="D17" s="25" t="s">
        <v>163</v>
      </c>
      <c r="E17" s="26" t="s">
        <v>167</v>
      </c>
      <c r="F17" s="27" t="s">
        <v>22</v>
      </c>
      <c r="G17" s="28">
        <f t="shared" si="26"/>
        <v>1</v>
      </c>
      <c r="H17" s="9" t="s">
        <v>24</v>
      </c>
      <c r="I17" s="9">
        <f t="shared" si="27"/>
        <v>1</v>
      </c>
      <c r="J17" s="9">
        <f t="shared" si="28"/>
        <v>1</v>
      </c>
    </row>
    <row r="18" ht="90">
      <c r="A18" s="24" t="s">
        <v>17</v>
      </c>
      <c r="B18" s="25" t="s">
        <v>168</v>
      </c>
      <c r="C18" s="26" t="s">
        <v>169</v>
      </c>
      <c r="D18" s="25" t="s">
        <v>170</v>
      </c>
      <c r="E18" s="26" t="s">
        <v>171</v>
      </c>
      <c r="F18" s="27" t="s">
        <v>22</v>
      </c>
      <c r="G18" s="28">
        <f t="shared" si="26"/>
        <v>1</v>
      </c>
      <c r="H18" s="9" t="s">
        <v>24</v>
      </c>
      <c r="I18" s="9">
        <f t="shared" si="27"/>
        <v>1</v>
      </c>
      <c r="J18" s="9">
        <f t="shared" si="28"/>
        <v>1</v>
      </c>
    </row>
    <row r="19" ht="72">
      <c r="A19" s="24" t="s">
        <v>17</v>
      </c>
      <c r="B19" s="25" t="s">
        <v>168</v>
      </c>
      <c r="C19" s="26" t="s">
        <v>169</v>
      </c>
      <c r="D19" s="25" t="s">
        <v>170</v>
      </c>
      <c r="E19" s="26" t="s">
        <v>172</v>
      </c>
      <c r="F19" s="27" t="s">
        <v>22</v>
      </c>
      <c r="G19" s="28">
        <f>IF(F19="Cumple",1,IF(F19="Cumple Parcialmente",0.5,IF(F19="No Cumple",0,"")))</f>
        <v>1</v>
      </c>
      <c r="H19" s="9" t="s">
        <v>24</v>
      </c>
      <c r="I19" s="9">
        <f t="shared" si="27"/>
        <v>1</v>
      </c>
      <c r="J19" s="9">
        <f t="shared" si="28"/>
        <v>1</v>
      </c>
    </row>
    <row r="20" ht="54">
      <c r="A20" s="24" t="s">
        <v>17</v>
      </c>
      <c r="B20" s="25" t="s">
        <v>168</v>
      </c>
      <c r="C20" s="26" t="s">
        <v>169</v>
      </c>
      <c r="D20" s="25" t="s">
        <v>170</v>
      </c>
      <c r="E20" s="26" t="s">
        <v>173</v>
      </c>
      <c r="F20" s="27" t="s">
        <v>22</v>
      </c>
      <c r="G20" s="28">
        <f t="shared" si="26"/>
        <v>1</v>
      </c>
      <c r="H20" s="9" t="s">
        <v>24</v>
      </c>
      <c r="I20" s="9">
        <f t="shared" si="27"/>
        <v>1</v>
      </c>
      <c r="J20" s="9">
        <f t="shared" si="28"/>
        <v>1</v>
      </c>
    </row>
    <row r="21" ht="72">
      <c r="A21" s="24" t="s">
        <v>17</v>
      </c>
      <c r="B21" s="25" t="s">
        <v>168</v>
      </c>
      <c r="C21" s="26" t="s">
        <v>174</v>
      </c>
      <c r="D21" s="25" t="s">
        <v>175</v>
      </c>
      <c r="E21" s="26" t="s">
        <v>176</v>
      </c>
      <c r="F21" s="27" t="s">
        <v>22</v>
      </c>
      <c r="G21" s="28">
        <f t="shared" si="26"/>
        <v>1</v>
      </c>
      <c r="H21" s="9" t="s">
        <v>24</v>
      </c>
      <c r="I21" s="9">
        <f t="shared" si="27"/>
        <v>1</v>
      </c>
      <c r="J21" s="9">
        <f t="shared" si="28"/>
        <v>1</v>
      </c>
    </row>
    <row r="22" ht="90">
      <c r="A22" s="24" t="s">
        <v>17</v>
      </c>
      <c r="B22" s="25" t="s">
        <v>168</v>
      </c>
      <c r="C22" s="26" t="s">
        <v>174</v>
      </c>
      <c r="D22" s="25" t="s">
        <v>175</v>
      </c>
      <c r="E22" s="26" t="s">
        <v>177</v>
      </c>
      <c r="F22" s="27" t="s">
        <v>22</v>
      </c>
      <c r="G22" s="28">
        <f t="shared" si="26"/>
        <v>1</v>
      </c>
      <c r="H22" s="9" t="s">
        <v>24</v>
      </c>
      <c r="I22" s="9">
        <f t="shared" si="27"/>
        <v>1</v>
      </c>
      <c r="J22" s="9">
        <f t="shared" si="28"/>
        <v>1</v>
      </c>
    </row>
    <row r="23" ht="72">
      <c r="A23" s="24" t="s">
        <v>17</v>
      </c>
      <c r="B23" s="25" t="s">
        <v>168</v>
      </c>
      <c r="C23" s="26" t="s">
        <v>174</v>
      </c>
      <c r="D23" s="25" t="s">
        <v>175</v>
      </c>
      <c r="E23" s="26" t="s">
        <v>178</v>
      </c>
      <c r="F23" s="27" t="s">
        <v>22</v>
      </c>
      <c r="G23" s="28">
        <f t="shared" si="26"/>
        <v>1</v>
      </c>
      <c r="H23" s="9" t="s">
        <v>24</v>
      </c>
      <c r="I23" s="9">
        <f t="shared" si="27"/>
        <v>1</v>
      </c>
      <c r="J23" s="9">
        <f t="shared" si="28"/>
        <v>1</v>
      </c>
    </row>
    <row r="24" ht="72">
      <c r="A24" s="24" t="s">
        <v>17</v>
      </c>
      <c r="B24" s="25" t="s">
        <v>168</v>
      </c>
      <c r="C24" s="26" t="s">
        <v>179</v>
      </c>
      <c r="D24" s="25" t="s">
        <v>180</v>
      </c>
      <c r="E24" s="26" t="s">
        <v>181</v>
      </c>
      <c r="F24" s="27" t="s">
        <v>22</v>
      </c>
      <c r="G24" s="28">
        <f t="shared" si="26"/>
        <v>1</v>
      </c>
      <c r="H24" s="9" t="s">
        <v>24</v>
      </c>
      <c r="I24" s="9">
        <f t="shared" si="27"/>
        <v>1</v>
      </c>
      <c r="J24" s="9">
        <f t="shared" si="28"/>
        <v>1</v>
      </c>
    </row>
    <row r="25" ht="90">
      <c r="A25" s="24" t="s">
        <v>17</v>
      </c>
      <c r="B25" s="25" t="s">
        <v>168</v>
      </c>
      <c r="C25" s="26" t="s">
        <v>179</v>
      </c>
      <c r="D25" s="25" t="s">
        <v>182</v>
      </c>
      <c r="E25" s="26" t="s">
        <v>183</v>
      </c>
      <c r="F25" s="27" t="s">
        <v>22</v>
      </c>
      <c r="G25" s="28">
        <f t="shared" si="26"/>
        <v>1</v>
      </c>
      <c r="H25" s="9" t="s">
        <v>24</v>
      </c>
      <c r="I25" s="9">
        <f t="shared" si="27"/>
        <v>1</v>
      </c>
      <c r="J25" s="9">
        <f t="shared" si="28"/>
        <v>1</v>
      </c>
    </row>
    <row r="26" ht="72">
      <c r="A26" s="24" t="s">
        <v>17</v>
      </c>
      <c r="B26" s="25" t="s">
        <v>168</v>
      </c>
      <c r="C26" s="26" t="s">
        <v>179</v>
      </c>
      <c r="D26" s="25" t="s">
        <v>182</v>
      </c>
      <c r="E26" s="26" t="s">
        <v>184</v>
      </c>
      <c r="F26" s="27" t="s">
        <v>22</v>
      </c>
      <c r="G26" s="28">
        <f t="shared" si="26"/>
        <v>1</v>
      </c>
      <c r="H26" s="9" t="s">
        <v>24</v>
      </c>
      <c r="I26" s="9">
        <f t="shared" si="27"/>
        <v>1</v>
      </c>
      <c r="J26" s="9">
        <f t="shared" si="28"/>
        <v>1</v>
      </c>
    </row>
    <row r="27" ht="72">
      <c r="A27" s="24" t="s">
        <v>17</v>
      </c>
      <c r="B27" s="25" t="s">
        <v>168</v>
      </c>
      <c r="C27" s="26" t="s">
        <v>185</v>
      </c>
      <c r="D27" s="25" t="s">
        <v>186</v>
      </c>
      <c r="E27" s="26" t="s">
        <v>187</v>
      </c>
      <c r="F27" s="27" t="s">
        <v>22</v>
      </c>
      <c r="G27" s="28">
        <f t="shared" si="26"/>
        <v>1</v>
      </c>
      <c r="H27" s="9" t="s">
        <v>24</v>
      </c>
      <c r="I27" s="9">
        <f t="shared" si="27"/>
        <v>1</v>
      </c>
      <c r="J27" s="9">
        <f t="shared" si="28"/>
        <v>1</v>
      </c>
    </row>
    <row r="28" ht="72">
      <c r="A28" s="24" t="s">
        <v>17</v>
      </c>
      <c r="B28" s="25" t="s">
        <v>168</v>
      </c>
      <c r="C28" s="26" t="s">
        <v>185</v>
      </c>
      <c r="D28" s="25" t="s">
        <v>186</v>
      </c>
      <c r="E28" s="26" t="s">
        <v>188</v>
      </c>
      <c r="F28" s="27" t="s">
        <v>22</v>
      </c>
      <c r="G28" s="28">
        <f t="shared" si="26"/>
        <v>1</v>
      </c>
      <c r="H28" s="9" t="s">
        <v>70</v>
      </c>
      <c r="I28" s="9">
        <f t="shared" si="27"/>
        <v>0.5</v>
      </c>
      <c r="J28" s="9">
        <f t="shared" si="28"/>
        <v>0.75</v>
      </c>
    </row>
    <row r="29" ht="72">
      <c r="A29" s="24" t="s">
        <v>17</v>
      </c>
      <c r="B29" s="25" t="s">
        <v>168</v>
      </c>
      <c r="C29" s="26" t="s">
        <v>185</v>
      </c>
      <c r="D29" s="25" t="s">
        <v>186</v>
      </c>
      <c r="E29" s="26" t="s">
        <v>189</v>
      </c>
      <c r="F29" s="27" t="s">
        <v>22</v>
      </c>
      <c r="G29" s="28">
        <f t="shared" si="26"/>
        <v>1</v>
      </c>
      <c r="H29" s="9" t="s">
        <v>70</v>
      </c>
      <c r="I29" s="9">
        <f t="shared" si="27"/>
        <v>0.5</v>
      </c>
      <c r="J29" s="9">
        <f t="shared" si="28"/>
        <v>0.75</v>
      </c>
    </row>
    <row r="30" ht="54">
      <c r="A30" s="24" t="s">
        <v>17</v>
      </c>
      <c r="B30" s="25" t="s">
        <v>168</v>
      </c>
      <c r="C30" s="26" t="s">
        <v>190</v>
      </c>
      <c r="D30" s="25" t="s">
        <v>191</v>
      </c>
      <c r="E30" s="26" t="s">
        <v>192</v>
      </c>
      <c r="F30" s="27" t="s">
        <v>22</v>
      </c>
      <c r="G30" s="28">
        <f t="shared" si="26"/>
        <v>1</v>
      </c>
      <c r="H30" s="9" t="s">
        <v>24</v>
      </c>
      <c r="I30" s="9">
        <f t="shared" si="27"/>
        <v>1</v>
      </c>
      <c r="J30" s="9">
        <f t="shared" si="28"/>
        <v>1</v>
      </c>
    </row>
    <row r="31" ht="54">
      <c r="A31" s="24" t="s">
        <v>17</v>
      </c>
      <c r="B31" s="25" t="s">
        <v>168</v>
      </c>
      <c r="C31" s="26" t="s">
        <v>190</v>
      </c>
      <c r="D31" s="25" t="s">
        <v>193</v>
      </c>
      <c r="E31" s="26" t="s">
        <v>194</v>
      </c>
      <c r="F31" s="27" t="s">
        <v>22</v>
      </c>
      <c r="G31" s="28">
        <f t="shared" si="26"/>
        <v>1</v>
      </c>
      <c r="H31" s="9" t="s">
        <v>24</v>
      </c>
      <c r="I31" s="9">
        <f t="shared" si="27"/>
        <v>1</v>
      </c>
      <c r="J31" s="9">
        <f t="shared" si="28"/>
        <v>1</v>
      </c>
    </row>
    <row r="32" ht="54">
      <c r="A32" s="24" t="s">
        <v>17</v>
      </c>
      <c r="B32" s="25" t="s">
        <v>168</v>
      </c>
      <c r="C32" s="26" t="s">
        <v>190</v>
      </c>
      <c r="D32" s="25" t="s">
        <v>193</v>
      </c>
      <c r="E32" s="26" t="s">
        <v>195</v>
      </c>
      <c r="F32" s="27" t="s">
        <v>22</v>
      </c>
      <c r="G32" s="28">
        <f t="shared" si="26"/>
        <v>1</v>
      </c>
      <c r="H32" s="9" t="s">
        <v>24</v>
      </c>
      <c r="I32" s="9">
        <f t="shared" si="27"/>
        <v>1</v>
      </c>
      <c r="J32" s="9">
        <f t="shared" si="28"/>
        <v>1</v>
      </c>
    </row>
    <row r="33" ht="54">
      <c r="A33" s="24" t="s">
        <v>17</v>
      </c>
      <c r="B33" s="25" t="s">
        <v>168</v>
      </c>
      <c r="C33" s="26" t="s">
        <v>196</v>
      </c>
      <c r="D33" s="25" t="s">
        <v>197</v>
      </c>
      <c r="E33" s="26" t="s">
        <v>198</v>
      </c>
      <c r="F33" s="27" t="s">
        <v>22</v>
      </c>
      <c r="G33" s="28">
        <f t="shared" si="26"/>
        <v>1</v>
      </c>
      <c r="H33" s="9" t="s">
        <v>24</v>
      </c>
      <c r="I33" s="9">
        <f t="shared" si="27"/>
        <v>1</v>
      </c>
      <c r="J33" s="9">
        <f t="shared" si="28"/>
        <v>1</v>
      </c>
    </row>
    <row r="34" ht="72">
      <c r="A34" s="24" t="s">
        <v>17</v>
      </c>
      <c r="B34" s="25" t="s">
        <v>168</v>
      </c>
      <c r="C34" s="26" t="s">
        <v>196</v>
      </c>
      <c r="D34" s="25" t="s">
        <v>197</v>
      </c>
      <c r="E34" s="26" t="s">
        <v>199</v>
      </c>
      <c r="F34" s="27" t="s">
        <v>22</v>
      </c>
      <c r="G34" s="28">
        <f t="shared" si="26"/>
        <v>1</v>
      </c>
      <c r="H34" s="9" t="s">
        <v>70</v>
      </c>
      <c r="I34" s="9">
        <f t="shared" si="27"/>
        <v>0.5</v>
      </c>
      <c r="J34" s="9">
        <f t="shared" si="28"/>
        <v>0.75</v>
      </c>
    </row>
    <row r="35" ht="72">
      <c r="A35" s="24" t="s">
        <v>17</v>
      </c>
      <c r="B35" s="25" t="s">
        <v>168</v>
      </c>
      <c r="C35" s="26" t="s">
        <v>196</v>
      </c>
      <c r="D35" s="25" t="s">
        <v>197</v>
      </c>
      <c r="E35" s="26" t="s">
        <v>200</v>
      </c>
      <c r="F35" s="27" t="s">
        <v>22</v>
      </c>
      <c r="G35" s="28">
        <f t="shared" si="26"/>
        <v>1</v>
      </c>
      <c r="H35" s="9" t="s">
        <v>24</v>
      </c>
      <c r="I35" s="9">
        <f t="shared" si="27"/>
        <v>1</v>
      </c>
      <c r="J35" s="9">
        <f t="shared" si="28"/>
        <v>1</v>
      </c>
    </row>
    <row r="36" ht="54">
      <c r="A36" s="24" t="s">
        <v>17</v>
      </c>
      <c r="B36" s="25" t="s">
        <v>201</v>
      </c>
      <c r="C36" s="26" t="s">
        <v>202</v>
      </c>
      <c r="D36" s="25" t="s">
        <v>203</v>
      </c>
      <c r="E36" s="26" t="s">
        <v>204</v>
      </c>
      <c r="F36" s="27" t="s">
        <v>22</v>
      </c>
      <c r="G36" s="28">
        <f t="shared" si="26"/>
        <v>1</v>
      </c>
      <c r="H36" s="9" t="s">
        <v>24</v>
      </c>
      <c r="I36" s="9">
        <f t="shared" si="27"/>
        <v>1</v>
      </c>
      <c r="J36" s="9">
        <f t="shared" si="28"/>
        <v>1</v>
      </c>
    </row>
    <row r="37" ht="54">
      <c r="A37" s="24" t="s">
        <v>17</v>
      </c>
      <c r="B37" s="25" t="s">
        <v>201</v>
      </c>
      <c r="C37" s="26" t="s">
        <v>202</v>
      </c>
      <c r="D37" s="25" t="s">
        <v>203</v>
      </c>
      <c r="E37" s="26" t="s">
        <v>205</v>
      </c>
      <c r="F37" s="27" t="s">
        <v>70</v>
      </c>
      <c r="G37" s="28">
        <f t="shared" si="26"/>
        <v>0.5</v>
      </c>
      <c r="H37" s="9" t="str">
        <f t="shared" ref="H37:H100" si="33">IF(OR(F37="No Cumple", F37="Cumple Parcialmente"), F37, "")</f>
        <v xml:space="preserve">Cumple Parcialmente</v>
      </c>
      <c r="I37" s="9">
        <f t="shared" si="27"/>
        <v>0.5</v>
      </c>
      <c r="J37" s="9">
        <f t="shared" si="28"/>
        <v>0.5</v>
      </c>
    </row>
    <row r="38" ht="72">
      <c r="A38" s="24" t="s">
        <v>17</v>
      </c>
      <c r="B38" s="25" t="s">
        <v>201</v>
      </c>
      <c r="C38" s="26" t="s">
        <v>202</v>
      </c>
      <c r="D38" s="25" t="s">
        <v>203</v>
      </c>
      <c r="E38" s="26" t="s">
        <v>206</v>
      </c>
      <c r="F38" s="27" t="s">
        <v>70</v>
      </c>
      <c r="G38" s="28">
        <f t="shared" si="26"/>
        <v>0.5</v>
      </c>
      <c r="H38" s="9" t="str">
        <f t="shared" si="33"/>
        <v xml:space="preserve">Cumple Parcialmente</v>
      </c>
      <c r="I38" s="9">
        <f t="shared" si="27"/>
        <v>0.5</v>
      </c>
      <c r="J38" s="9">
        <f t="shared" si="28"/>
        <v>0.5</v>
      </c>
    </row>
    <row r="39" ht="72">
      <c r="A39" s="24" t="s">
        <v>17</v>
      </c>
      <c r="B39" s="25" t="s">
        <v>201</v>
      </c>
      <c r="C39" s="26" t="s">
        <v>207</v>
      </c>
      <c r="D39" s="25" t="s">
        <v>208</v>
      </c>
      <c r="E39" s="26" t="s">
        <v>209</v>
      </c>
      <c r="F39" s="27" t="s">
        <v>22</v>
      </c>
      <c r="G39" s="28">
        <f t="shared" si="26"/>
        <v>1</v>
      </c>
      <c r="H39" s="9" t="s">
        <v>70</v>
      </c>
      <c r="I39" s="9">
        <f t="shared" si="27"/>
        <v>0.5</v>
      </c>
      <c r="J39" s="9">
        <f t="shared" si="28"/>
        <v>0.75</v>
      </c>
    </row>
    <row r="40" ht="108">
      <c r="A40" s="24" t="s">
        <v>17</v>
      </c>
      <c r="B40" s="25" t="s">
        <v>201</v>
      </c>
      <c r="C40" s="26" t="s">
        <v>207</v>
      </c>
      <c r="D40" s="25" t="s">
        <v>208</v>
      </c>
      <c r="E40" s="26" t="s">
        <v>210</v>
      </c>
      <c r="F40" s="27" t="s">
        <v>22</v>
      </c>
      <c r="G40" s="28">
        <f t="shared" si="26"/>
        <v>1</v>
      </c>
      <c r="H40" s="9" t="s">
        <v>24</v>
      </c>
      <c r="I40" s="9">
        <f t="shared" si="27"/>
        <v>1</v>
      </c>
      <c r="J40" s="9">
        <f t="shared" si="28"/>
        <v>1</v>
      </c>
    </row>
    <row r="41" ht="90">
      <c r="A41" s="24" t="s">
        <v>17</v>
      </c>
      <c r="B41" s="25" t="s">
        <v>201</v>
      </c>
      <c r="C41" s="26" t="s">
        <v>207</v>
      </c>
      <c r="D41" s="25" t="s">
        <v>208</v>
      </c>
      <c r="E41" s="26" t="s">
        <v>211</v>
      </c>
      <c r="F41" s="27" t="s">
        <v>22</v>
      </c>
      <c r="G41" s="28">
        <f t="shared" si="26"/>
        <v>1</v>
      </c>
      <c r="H41" s="9" t="s">
        <v>70</v>
      </c>
      <c r="I41" s="9">
        <f t="shared" si="27"/>
        <v>0.5</v>
      </c>
      <c r="J41" s="9">
        <f t="shared" si="28"/>
        <v>0.75</v>
      </c>
    </row>
    <row r="42" ht="90">
      <c r="A42" s="24" t="s">
        <v>17</v>
      </c>
      <c r="B42" s="25" t="s">
        <v>201</v>
      </c>
      <c r="C42" s="26" t="s">
        <v>212</v>
      </c>
      <c r="D42" s="25" t="s">
        <v>213</v>
      </c>
      <c r="E42" s="26" t="s">
        <v>214</v>
      </c>
      <c r="F42" s="27" t="s">
        <v>22</v>
      </c>
      <c r="G42" s="28">
        <f t="shared" si="26"/>
        <v>1</v>
      </c>
      <c r="H42" s="9" t="s">
        <v>24</v>
      </c>
      <c r="I42" s="9">
        <f t="shared" si="27"/>
        <v>1</v>
      </c>
      <c r="J42" s="9">
        <f t="shared" si="28"/>
        <v>1</v>
      </c>
    </row>
    <row r="43" ht="90">
      <c r="A43" s="24" t="s">
        <v>17</v>
      </c>
      <c r="B43" s="25" t="s">
        <v>201</v>
      </c>
      <c r="C43" s="26" t="s">
        <v>212</v>
      </c>
      <c r="D43" s="25" t="s">
        <v>213</v>
      </c>
      <c r="E43" s="26" t="s">
        <v>215</v>
      </c>
      <c r="F43" s="27" t="s">
        <v>22</v>
      </c>
      <c r="G43" s="28">
        <f t="shared" si="26"/>
        <v>1</v>
      </c>
      <c r="H43" s="9" t="s">
        <v>24</v>
      </c>
      <c r="I43" s="9">
        <f t="shared" si="27"/>
        <v>1</v>
      </c>
      <c r="J43" s="9">
        <f t="shared" si="28"/>
        <v>1</v>
      </c>
    </row>
    <row r="44" ht="90">
      <c r="A44" s="24" t="s">
        <v>17</v>
      </c>
      <c r="B44" s="25" t="s">
        <v>201</v>
      </c>
      <c r="C44" s="26" t="s">
        <v>212</v>
      </c>
      <c r="D44" s="25" t="s">
        <v>213</v>
      </c>
      <c r="E44" s="26" t="s">
        <v>216</v>
      </c>
      <c r="F44" s="27" t="s">
        <v>22</v>
      </c>
      <c r="G44" s="28">
        <f t="shared" si="26"/>
        <v>1</v>
      </c>
      <c r="H44" s="9" t="s">
        <v>24</v>
      </c>
      <c r="I44" s="9">
        <f t="shared" si="27"/>
        <v>1</v>
      </c>
      <c r="J44" s="9">
        <f t="shared" si="28"/>
        <v>1</v>
      </c>
    </row>
    <row r="45" ht="90">
      <c r="A45" s="24" t="s">
        <v>17</v>
      </c>
      <c r="B45" s="25" t="s">
        <v>201</v>
      </c>
      <c r="C45" s="26" t="s">
        <v>217</v>
      </c>
      <c r="D45" s="25" t="s">
        <v>218</v>
      </c>
      <c r="E45" s="26" t="s">
        <v>219</v>
      </c>
      <c r="F45" s="27" t="s">
        <v>22</v>
      </c>
      <c r="G45" s="28">
        <f t="shared" si="26"/>
        <v>1</v>
      </c>
      <c r="H45" s="9" t="s">
        <v>70</v>
      </c>
      <c r="I45" s="9">
        <f t="shared" si="27"/>
        <v>0.5</v>
      </c>
      <c r="J45" s="9">
        <f t="shared" si="28"/>
        <v>0.75</v>
      </c>
    </row>
    <row r="46" ht="72">
      <c r="A46" s="24" t="s">
        <v>17</v>
      </c>
      <c r="B46" s="25" t="s">
        <v>201</v>
      </c>
      <c r="C46" s="26" t="s">
        <v>217</v>
      </c>
      <c r="D46" s="25" t="s">
        <v>218</v>
      </c>
      <c r="E46" s="26" t="s">
        <v>220</v>
      </c>
      <c r="F46" s="27" t="s">
        <v>22</v>
      </c>
      <c r="G46" s="28">
        <f t="shared" si="26"/>
        <v>1</v>
      </c>
      <c r="H46" s="9" t="s">
        <v>70</v>
      </c>
      <c r="I46" s="9">
        <f t="shared" si="27"/>
        <v>0.5</v>
      </c>
      <c r="J46" s="9">
        <f t="shared" si="28"/>
        <v>0.75</v>
      </c>
    </row>
    <row r="47" ht="54">
      <c r="A47" s="24" t="s">
        <v>17</v>
      </c>
      <c r="B47" s="25" t="s">
        <v>201</v>
      </c>
      <c r="C47" s="26" t="s">
        <v>217</v>
      </c>
      <c r="D47" s="25" t="s">
        <v>218</v>
      </c>
      <c r="E47" s="26" t="s">
        <v>221</v>
      </c>
      <c r="F47" s="27" t="s">
        <v>22</v>
      </c>
      <c r="G47" s="28">
        <f t="shared" si="26"/>
        <v>1</v>
      </c>
      <c r="H47" s="9" t="s">
        <v>70</v>
      </c>
      <c r="I47" s="9">
        <f t="shared" si="27"/>
        <v>0.5</v>
      </c>
      <c r="J47" s="9">
        <f t="shared" si="28"/>
        <v>0.75</v>
      </c>
    </row>
    <row r="48" ht="72">
      <c r="A48" s="24" t="s">
        <v>25</v>
      </c>
      <c r="B48" s="25" t="s">
        <v>144</v>
      </c>
      <c r="C48" s="26" t="s">
        <v>145</v>
      </c>
      <c r="D48" s="25" t="s">
        <v>146</v>
      </c>
      <c r="E48" s="26" t="s">
        <v>147</v>
      </c>
      <c r="F48" s="27" t="s">
        <v>22</v>
      </c>
      <c r="G48" s="28">
        <f t="shared" si="26"/>
        <v>1</v>
      </c>
      <c r="H48" s="9" t="s">
        <v>24</v>
      </c>
      <c r="I48" s="9">
        <f t="shared" si="27"/>
        <v>1</v>
      </c>
      <c r="J48" s="9">
        <f t="shared" si="28"/>
        <v>1</v>
      </c>
    </row>
    <row r="49" ht="54">
      <c r="A49" s="24" t="s">
        <v>25</v>
      </c>
      <c r="B49" s="25" t="s">
        <v>144</v>
      </c>
      <c r="C49" s="26" t="s">
        <v>145</v>
      </c>
      <c r="D49" s="25" t="s">
        <v>146</v>
      </c>
      <c r="E49" s="26" t="s">
        <v>148</v>
      </c>
      <c r="F49" s="27" t="s">
        <v>22</v>
      </c>
      <c r="G49" s="28">
        <f t="shared" si="26"/>
        <v>1</v>
      </c>
      <c r="H49" s="9" t="s">
        <v>70</v>
      </c>
      <c r="I49" s="9">
        <f t="shared" si="27"/>
        <v>0.5</v>
      </c>
      <c r="J49" s="9">
        <f t="shared" si="28"/>
        <v>0.75</v>
      </c>
    </row>
    <row r="50" ht="72">
      <c r="A50" s="24" t="s">
        <v>25</v>
      </c>
      <c r="B50" s="25" t="s">
        <v>144</v>
      </c>
      <c r="C50" s="26" t="s">
        <v>145</v>
      </c>
      <c r="D50" s="25" t="s">
        <v>146</v>
      </c>
      <c r="E50" s="26" t="s">
        <v>149</v>
      </c>
      <c r="F50" s="27" t="s">
        <v>22</v>
      </c>
      <c r="G50" s="28">
        <f t="shared" si="26"/>
        <v>1</v>
      </c>
      <c r="H50" s="9" t="s">
        <v>24</v>
      </c>
      <c r="I50" s="9">
        <f t="shared" si="27"/>
        <v>1</v>
      </c>
      <c r="J50" s="9">
        <f t="shared" si="28"/>
        <v>1</v>
      </c>
    </row>
    <row r="51" ht="72">
      <c r="A51" s="24" t="s">
        <v>25</v>
      </c>
      <c r="B51" s="25" t="s">
        <v>144</v>
      </c>
      <c r="C51" s="26" t="s">
        <v>145</v>
      </c>
      <c r="D51" s="25" t="s">
        <v>146</v>
      </c>
      <c r="E51" s="26" t="s">
        <v>150</v>
      </c>
      <c r="F51" s="27" t="s">
        <v>22</v>
      </c>
      <c r="G51" s="28">
        <f t="shared" si="26"/>
        <v>1</v>
      </c>
      <c r="H51" s="9" t="s">
        <v>24</v>
      </c>
      <c r="I51" s="9">
        <f t="shared" si="27"/>
        <v>1</v>
      </c>
      <c r="J51" s="9">
        <f t="shared" si="28"/>
        <v>1</v>
      </c>
    </row>
    <row r="52" ht="54">
      <c r="A52" s="24" t="s">
        <v>25</v>
      </c>
      <c r="B52" s="25" t="s">
        <v>144</v>
      </c>
      <c r="C52" s="26" t="s">
        <v>151</v>
      </c>
      <c r="D52" s="25" t="s">
        <v>152</v>
      </c>
      <c r="E52" s="26" t="s">
        <v>153</v>
      </c>
      <c r="F52" s="27" t="s">
        <v>22</v>
      </c>
      <c r="G52" s="28">
        <f t="shared" si="26"/>
        <v>1</v>
      </c>
      <c r="H52" s="9" t="s">
        <v>24</v>
      </c>
      <c r="I52" s="9">
        <f t="shared" si="27"/>
        <v>1</v>
      </c>
      <c r="J52" s="9">
        <f t="shared" si="28"/>
        <v>1</v>
      </c>
    </row>
    <row r="53" ht="72">
      <c r="A53" s="24" t="s">
        <v>25</v>
      </c>
      <c r="B53" s="25" t="s">
        <v>144</v>
      </c>
      <c r="C53" s="26" t="s">
        <v>151</v>
      </c>
      <c r="D53" s="25" t="s">
        <v>152</v>
      </c>
      <c r="E53" s="26" t="s">
        <v>154</v>
      </c>
      <c r="F53" s="27" t="s">
        <v>22</v>
      </c>
      <c r="G53" s="28">
        <f t="shared" si="26"/>
        <v>1</v>
      </c>
      <c r="H53" s="9" t="s">
        <v>24</v>
      </c>
      <c r="I53" s="9">
        <f t="shared" si="27"/>
        <v>1</v>
      </c>
      <c r="J53" s="9">
        <f t="shared" si="28"/>
        <v>1</v>
      </c>
    </row>
    <row r="54" ht="72">
      <c r="A54" s="24" t="s">
        <v>25</v>
      </c>
      <c r="B54" s="25" t="s">
        <v>144</v>
      </c>
      <c r="C54" s="26" t="s">
        <v>151</v>
      </c>
      <c r="D54" s="25" t="s">
        <v>152</v>
      </c>
      <c r="E54" s="26" t="s">
        <v>155</v>
      </c>
      <c r="F54" s="27" t="s">
        <v>22</v>
      </c>
      <c r="G54" s="28">
        <f t="shared" si="26"/>
        <v>1</v>
      </c>
      <c r="H54" s="9" t="s">
        <v>24</v>
      </c>
      <c r="I54" s="9">
        <f t="shared" si="27"/>
        <v>1</v>
      </c>
      <c r="J54" s="9">
        <f t="shared" si="28"/>
        <v>1</v>
      </c>
    </row>
    <row r="55" ht="54">
      <c r="A55" s="24" t="s">
        <v>25</v>
      </c>
      <c r="B55" s="25" t="s">
        <v>144</v>
      </c>
      <c r="C55" s="26" t="s">
        <v>151</v>
      </c>
      <c r="D55" s="25" t="s">
        <v>152</v>
      </c>
      <c r="E55" s="26" t="s">
        <v>156</v>
      </c>
      <c r="F55" s="27" t="s">
        <v>53</v>
      </c>
      <c r="G55" s="28">
        <f t="shared" si="26"/>
        <v>0</v>
      </c>
      <c r="H55" s="9" t="str">
        <f t="shared" si="33"/>
        <v xml:space="preserve">No Cumple</v>
      </c>
      <c r="I55" s="9">
        <f t="shared" si="27"/>
        <v>0</v>
      </c>
      <c r="J55" s="9">
        <f t="shared" si="28"/>
        <v>0</v>
      </c>
    </row>
    <row r="56" ht="72">
      <c r="A56" s="24" t="s">
        <v>25</v>
      </c>
      <c r="B56" s="25" t="s">
        <v>144</v>
      </c>
      <c r="C56" s="26" t="s">
        <v>157</v>
      </c>
      <c r="D56" s="25" t="s">
        <v>158</v>
      </c>
      <c r="E56" s="26" t="s">
        <v>159</v>
      </c>
      <c r="F56" s="27" t="s">
        <v>22</v>
      </c>
      <c r="G56" s="28">
        <f t="shared" si="26"/>
        <v>1</v>
      </c>
      <c r="H56" s="9" t="s">
        <v>24</v>
      </c>
      <c r="I56" s="9">
        <f t="shared" si="27"/>
        <v>1</v>
      </c>
      <c r="J56" s="9">
        <f t="shared" si="28"/>
        <v>1</v>
      </c>
    </row>
    <row r="57" ht="72">
      <c r="A57" s="24" t="s">
        <v>25</v>
      </c>
      <c r="B57" s="25" t="s">
        <v>144</v>
      </c>
      <c r="C57" s="26" t="s">
        <v>157</v>
      </c>
      <c r="D57" s="25" t="s">
        <v>158</v>
      </c>
      <c r="E57" s="26" t="s">
        <v>160</v>
      </c>
      <c r="F57" s="27" t="s">
        <v>22</v>
      </c>
      <c r="G57" s="28">
        <f t="shared" si="26"/>
        <v>1</v>
      </c>
      <c r="H57" s="9" t="s">
        <v>24</v>
      </c>
      <c r="I57" s="9">
        <f t="shared" si="27"/>
        <v>1</v>
      </c>
      <c r="J57" s="9">
        <f t="shared" si="28"/>
        <v>1</v>
      </c>
    </row>
    <row r="58" ht="72">
      <c r="A58" s="24" t="s">
        <v>25</v>
      </c>
      <c r="B58" s="25" t="s">
        <v>144</v>
      </c>
      <c r="C58" s="26" t="s">
        <v>157</v>
      </c>
      <c r="D58" s="25" t="s">
        <v>158</v>
      </c>
      <c r="E58" s="26" t="s">
        <v>161</v>
      </c>
      <c r="F58" s="27" t="s">
        <v>22</v>
      </c>
      <c r="G58" s="28">
        <f t="shared" si="26"/>
        <v>1</v>
      </c>
      <c r="H58" s="9" t="s">
        <v>24</v>
      </c>
      <c r="I58" s="9">
        <f t="shared" si="27"/>
        <v>1</v>
      </c>
      <c r="J58" s="9">
        <f t="shared" si="28"/>
        <v>1</v>
      </c>
    </row>
    <row r="59" ht="72">
      <c r="A59" s="24" t="s">
        <v>25</v>
      </c>
      <c r="B59" s="25" t="s">
        <v>144</v>
      </c>
      <c r="C59" s="26" t="s">
        <v>157</v>
      </c>
      <c r="D59" s="25" t="s">
        <v>158</v>
      </c>
      <c r="E59" s="26" t="s">
        <v>162</v>
      </c>
      <c r="F59" s="27" t="s">
        <v>22</v>
      </c>
      <c r="G59" s="28">
        <f t="shared" si="26"/>
        <v>1</v>
      </c>
      <c r="H59" s="9" t="s">
        <v>24</v>
      </c>
      <c r="I59" s="9">
        <f t="shared" si="27"/>
        <v>1</v>
      </c>
      <c r="J59" s="9">
        <f t="shared" si="28"/>
        <v>1</v>
      </c>
    </row>
    <row r="60" ht="72">
      <c r="A60" s="24" t="s">
        <v>25</v>
      </c>
      <c r="B60" s="25" t="s">
        <v>144</v>
      </c>
      <c r="C60" s="26" t="s">
        <v>163</v>
      </c>
      <c r="D60" s="25" t="s">
        <v>163</v>
      </c>
      <c r="E60" s="26" t="s">
        <v>164</v>
      </c>
      <c r="F60" s="27" t="s">
        <v>22</v>
      </c>
      <c r="G60" s="28">
        <f t="shared" si="26"/>
        <v>1</v>
      </c>
      <c r="H60" s="9" t="s">
        <v>24</v>
      </c>
      <c r="I60" s="9">
        <f t="shared" si="27"/>
        <v>1</v>
      </c>
      <c r="J60" s="9">
        <f t="shared" si="28"/>
        <v>1</v>
      </c>
    </row>
    <row r="61" ht="72">
      <c r="A61" s="24" t="s">
        <v>25</v>
      </c>
      <c r="B61" s="25" t="s">
        <v>144</v>
      </c>
      <c r="C61" s="26" t="s">
        <v>163</v>
      </c>
      <c r="D61" s="25" t="s">
        <v>163</v>
      </c>
      <c r="E61" s="26" t="s">
        <v>165</v>
      </c>
      <c r="F61" s="27" t="s">
        <v>22</v>
      </c>
      <c r="G61" s="28">
        <f t="shared" si="26"/>
        <v>1</v>
      </c>
      <c r="H61" s="9" t="s">
        <v>24</v>
      </c>
      <c r="I61" s="9">
        <f t="shared" si="27"/>
        <v>1</v>
      </c>
      <c r="J61" s="9">
        <f t="shared" si="28"/>
        <v>1</v>
      </c>
    </row>
    <row r="62" ht="72">
      <c r="A62" s="24" t="s">
        <v>25</v>
      </c>
      <c r="B62" s="25" t="s">
        <v>144</v>
      </c>
      <c r="C62" s="26" t="s">
        <v>163</v>
      </c>
      <c r="D62" s="25" t="s">
        <v>163</v>
      </c>
      <c r="E62" s="26" t="s">
        <v>166</v>
      </c>
      <c r="F62" s="27" t="s">
        <v>22</v>
      </c>
      <c r="G62" s="28">
        <f t="shared" si="26"/>
        <v>1</v>
      </c>
      <c r="H62" s="9" t="s">
        <v>24</v>
      </c>
      <c r="I62" s="9">
        <f t="shared" si="27"/>
        <v>1</v>
      </c>
      <c r="J62" s="9">
        <f t="shared" si="28"/>
        <v>1</v>
      </c>
    </row>
    <row r="63" ht="54">
      <c r="A63" s="24" t="s">
        <v>25</v>
      </c>
      <c r="B63" s="25" t="s">
        <v>144</v>
      </c>
      <c r="C63" s="26" t="s">
        <v>163</v>
      </c>
      <c r="D63" s="25" t="s">
        <v>163</v>
      </c>
      <c r="E63" s="26" t="s">
        <v>167</v>
      </c>
      <c r="F63" s="27" t="s">
        <v>22</v>
      </c>
      <c r="G63" s="28">
        <f t="shared" si="26"/>
        <v>1</v>
      </c>
      <c r="H63" s="9" t="s">
        <v>24</v>
      </c>
      <c r="I63" s="9">
        <f t="shared" si="27"/>
        <v>1</v>
      </c>
      <c r="J63" s="9">
        <f t="shared" si="28"/>
        <v>1</v>
      </c>
    </row>
    <row r="64" ht="90">
      <c r="A64" s="24" t="s">
        <v>25</v>
      </c>
      <c r="B64" s="25" t="s">
        <v>168</v>
      </c>
      <c r="C64" s="26" t="s">
        <v>169</v>
      </c>
      <c r="D64" s="25" t="s">
        <v>170</v>
      </c>
      <c r="E64" s="26" t="s">
        <v>171</v>
      </c>
      <c r="F64" s="27" t="s">
        <v>53</v>
      </c>
      <c r="G64" s="28">
        <f t="shared" si="26"/>
        <v>0</v>
      </c>
      <c r="H64" s="9" t="s">
        <v>70</v>
      </c>
      <c r="I64" s="9">
        <f t="shared" si="27"/>
        <v>0.5</v>
      </c>
      <c r="J64" s="9">
        <f t="shared" si="28"/>
        <v>0.25</v>
      </c>
    </row>
    <row r="65" ht="72">
      <c r="A65" s="24" t="s">
        <v>25</v>
      </c>
      <c r="B65" s="25" t="s">
        <v>168</v>
      </c>
      <c r="C65" s="26" t="s">
        <v>169</v>
      </c>
      <c r="D65" s="25" t="s">
        <v>170</v>
      </c>
      <c r="E65" s="26" t="s">
        <v>172</v>
      </c>
      <c r="F65" s="27" t="s">
        <v>53</v>
      </c>
      <c r="G65" s="28">
        <f t="shared" si="26"/>
        <v>0</v>
      </c>
      <c r="H65" s="9" t="str">
        <f t="shared" si="33"/>
        <v xml:space="preserve">No Cumple</v>
      </c>
      <c r="I65" s="9">
        <f t="shared" si="27"/>
        <v>0</v>
      </c>
      <c r="J65" s="9">
        <f t="shared" si="28"/>
        <v>0</v>
      </c>
    </row>
    <row r="66" ht="54">
      <c r="A66" s="24" t="s">
        <v>25</v>
      </c>
      <c r="B66" s="25" t="s">
        <v>168</v>
      </c>
      <c r="C66" s="26" t="s">
        <v>169</v>
      </c>
      <c r="D66" s="25" t="s">
        <v>170</v>
      </c>
      <c r="E66" s="26" t="s">
        <v>173</v>
      </c>
      <c r="F66" s="27" t="s">
        <v>22</v>
      </c>
      <c r="G66" s="28">
        <f t="shared" ref="G66" si="34">IF(F66="Cumple",1,IF(F66="Cumple Parcialmente",0.5,IF(F66="No Cumple",0,"")))</f>
        <v>1</v>
      </c>
      <c r="H66" s="9" t="s">
        <v>24</v>
      </c>
      <c r="I66" s="9">
        <f t="shared" ref="I66" si="35">IF(H66="Cumple",1,IF(H66="Cumple Parcialmente",0.5,IF(H66="No Cumple",0,"")))</f>
        <v>1</v>
      </c>
      <c r="J66" s="9">
        <f t="shared" ref="J66:J129" si="36">AVERAGE(G66,I66)</f>
        <v>1</v>
      </c>
    </row>
    <row r="67" ht="72">
      <c r="A67" s="24" t="s">
        <v>25</v>
      </c>
      <c r="B67" s="25" t="s">
        <v>168</v>
      </c>
      <c r="C67" s="26" t="s">
        <v>174</v>
      </c>
      <c r="D67" s="25" t="s">
        <v>175</v>
      </c>
      <c r="E67" s="26" t="s">
        <v>176</v>
      </c>
      <c r="F67" s="27" t="s">
        <v>53</v>
      </c>
      <c r="G67" s="28">
        <f t="shared" ref="G67:G130" si="37">IF(F67="Cumple",1,IF(F67="Cumple Parcialmente",0.5,IF(F67="No Cumple",0,"")))</f>
        <v>0</v>
      </c>
      <c r="H67" s="9" t="s">
        <v>70</v>
      </c>
      <c r="I67" s="9">
        <f t="shared" ref="I67:I130" si="38">IF(H67="Cumple",1,IF(H67="Cumple Parcialmente",0.5,IF(H67="No Cumple",0,"")))</f>
        <v>0.5</v>
      </c>
      <c r="J67" s="9">
        <f t="shared" si="36"/>
        <v>0.25</v>
      </c>
    </row>
    <row r="68" ht="90">
      <c r="A68" s="24" t="s">
        <v>25</v>
      </c>
      <c r="B68" s="25" t="s">
        <v>168</v>
      </c>
      <c r="C68" s="26" t="s">
        <v>174</v>
      </c>
      <c r="D68" s="25" t="s">
        <v>175</v>
      </c>
      <c r="E68" s="26" t="s">
        <v>177</v>
      </c>
      <c r="F68" s="27" t="s">
        <v>53</v>
      </c>
      <c r="G68" s="28">
        <f t="shared" si="37"/>
        <v>0</v>
      </c>
      <c r="H68" s="9" t="str">
        <f t="shared" si="33"/>
        <v xml:space="preserve">No Cumple</v>
      </c>
      <c r="I68" s="9">
        <f t="shared" si="38"/>
        <v>0</v>
      </c>
      <c r="J68" s="9">
        <f t="shared" si="36"/>
        <v>0</v>
      </c>
    </row>
    <row r="69" ht="72">
      <c r="A69" s="24" t="s">
        <v>25</v>
      </c>
      <c r="B69" s="25" t="s">
        <v>168</v>
      </c>
      <c r="C69" s="26" t="s">
        <v>174</v>
      </c>
      <c r="D69" s="25" t="s">
        <v>175</v>
      </c>
      <c r="E69" s="26" t="s">
        <v>178</v>
      </c>
      <c r="F69" s="27" t="s">
        <v>70</v>
      </c>
      <c r="G69" s="28">
        <f t="shared" si="37"/>
        <v>0.5</v>
      </c>
      <c r="H69" s="9" t="str">
        <f t="shared" si="33"/>
        <v xml:space="preserve">Cumple Parcialmente</v>
      </c>
      <c r="I69" s="9">
        <f t="shared" si="38"/>
        <v>0.5</v>
      </c>
      <c r="J69" s="9">
        <f t="shared" si="36"/>
        <v>0.5</v>
      </c>
    </row>
    <row r="70" ht="72">
      <c r="A70" s="24" t="s">
        <v>25</v>
      </c>
      <c r="B70" s="25" t="s">
        <v>168</v>
      </c>
      <c r="C70" s="26" t="s">
        <v>179</v>
      </c>
      <c r="D70" s="25" t="s">
        <v>180</v>
      </c>
      <c r="E70" s="26" t="s">
        <v>181</v>
      </c>
      <c r="F70" s="27" t="s">
        <v>22</v>
      </c>
      <c r="G70" s="28">
        <f t="shared" si="37"/>
        <v>1</v>
      </c>
      <c r="H70" s="9" t="s">
        <v>24</v>
      </c>
      <c r="I70" s="9">
        <f t="shared" si="38"/>
        <v>1</v>
      </c>
      <c r="J70" s="9">
        <f t="shared" si="36"/>
        <v>1</v>
      </c>
    </row>
    <row r="71" ht="90">
      <c r="A71" s="24" t="s">
        <v>25</v>
      </c>
      <c r="B71" s="25" t="s">
        <v>168</v>
      </c>
      <c r="C71" s="26" t="s">
        <v>179</v>
      </c>
      <c r="D71" s="25" t="s">
        <v>182</v>
      </c>
      <c r="E71" s="26" t="s">
        <v>183</v>
      </c>
      <c r="F71" s="27" t="s">
        <v>70</v>
      </c>
      <c r="G71" s="28">
        <f t="shared" si="37"/>
        <v>0.5</v>
      </c>
      <c r="H71" s="9" t="str">
        <f t="shared" si="33"/>
        <v xml:space="preserve">Cumple Parcialmente</v>
      </c>
      <c r="I71" s="9">
        <f t="shared" si="38"/>
        <v>0.5</v>
      </c>
      <c r="J71" s="9">
        <f t="shared" si="36"/>
        <v>0.5</v>
      </c>
    </row>
    <row r="72" ht="72">
      <c r="A72" s="24" t="s">
        <v>25</v>
      </c>
      <c r="B72" s="25" t="s">
        <v>168</v>
      </c>
      <c r="C72" s="26" t="s">
        <v>179</v>
      </c>
      <c r="D72" s="25" t="s">
        <v>182</v>
      </c>
      <c r="E72" s="26" t="s">
        <v>184</v>
      </c>
      <c r="F72" s="27" t="s">
        <v>53</v>
      </c>
      <c r="G72" s="28">
        <f t="shared" si="37"/>
        <v>0</v>
      </c>
      <c r="H72" s="9" t="str">
        <f t="shared" si="33"/>
        <v xml:space="preserve">No Cumple</v>
      </c>
      <c r="I72" s="9">
        <f t="shared" si="38"/>
        <v>0</v>
      </c>
      <c r="J72" s="9">
        <f t="shared" si="36"/>
        <v>0</v>
      </c>
    </row>
    <row r="73" ht="72">
      <c r="A73" s="24" t="s">
        <v>25</v>
      </c>
      <c r="B73" s="25" t="s">
        <v>168</v>
      </c>
      <c r="C73" s="26" t="s">
        <v>185</v>
      </c>
      <c r="D73" s="25" t="s">
        <v>186</v>
      </c>
      <c r="E73" s="26" t="s">
        <v>187</v>
      </c>
      <c r="F73" s="27" t="s">
        <v>53</v>
      </c>
      <c r="G73" s="28">
        <f t="shared" si="37"/>
        <v>0</v>
      </c>
      <c r="H73" s="9" t="str">
        <f t="shared" si="33"/>
        <v xml:space="preserve">No Cumple</v>
      </c>
      <c r="I73" s="9">
        <f t="shared" si="38"/>
        <v>0</v>
      </c>
      <c r="J73" s="9">
        <f t="shared" si="36"/>
        <v>0</v>
      </c>
    </row>
    <row r="74" ht="72">
      <c r="A74" s="24" t="s">
        <v>25</v>
      </c>
      <c r="B74" s="25" t="s">
        <v>168</v>
      </c>
      <c r="C74" s="26" t="s">
        <v>185</v>
      </c>
      <c r="D74" s="25" t="s">
        <v>186</v>
      </c>
      <c r="E74" s="26" t="s">
        <v>188</v>
      </c>
      <c r="F74" s="27" t="s">
        <v>53</v>
      </c>
      <c r="G74" s="28">
        <f t="shared" si="37"/>
        <v>0</v>
      </c>
      <c r="H74" s="9" t="str">
        <f t="shared" si="33"/>
        <v xml:space="preserve">No Cumple</v>
      </c>
      <c r="I74" s="9">
        <f t="shared" si="38"/>
        <v>0</v>
      </c>
      <c r="J74" s="9">
        <f t="shared" si="36"/>
        <v>0</v>
      </c>
    </row>
    <row r="75" ht="72">
      <c r="A75" s="24" t="s">
        <v>25</v>
      </c>
      <c r="B75" s="25" t="s">
        <v>168</v>
      </c>
      <c r="C75" s="26" t="s">
        <v>185</v>
      </c>
      <c r="D75" s="25" t="s">
        <v>186</v>
      </c>
      <c r="E75" s="26" t="s">
        <v>189</v>
      </c>
      <c r="F75" s="27" t="s">
        <v>53</v>
      </c>
      <c r="G75" s="28">
        <f t="shared" si="37"/>
        <v>0</v>
      </c>
      <c r="H75" s="9" t="str">
        <f t="shared" si="33"/>
        <v xml:space="preserve">No Cumple</v>
      </c>
      <c r="I75" s="9">
        <f t="shared" si="38"/>
        <v>0</v>
      </c>
      <c r="J75" s="9">
        <f t="shared" si="36"/>
        <v>0</v>
      </c>
    </row>
    <row r="76" ht="54">
      <c r="A76" s="24" t="s">
        <v>25</v>
      </c>
      <c r="B76" s="25" t="s">
        <v>168</v>
      </c>
      <c r="C76" s="26" t="s">
        <v>190</v>
      </c>
      <c r="D76" s="25" t="s">
        <v>191</v>
      </c>
      <c r="E76" s="26" t="s">
        <v>192</v>
      </c>
      <c r="F76" s="27" t="s">
        <v>53</v>
      </c>
      <c r="G76" s="28">
        <f t="shared" si="37"/>
        <v>0</v>
      </c>
      <c r="H76" s="9" t="str">
        <f t="shared" si="33"/>
        <v xml:space="preserve">No Cumple</v>
      </c>
      <c r="I76" s="9">
        <f t="shared" si="38"/>
        <v>0</v>
      </c>
      <c r="J76" s="9">
        <f t="shared" si="36"/>
        <v>0</v>
      </c>
    </row>
    <row r="77" ht="54">
      <c r="A77" s="24" t="s">
        <v>25</v>
      </c>
      <c r="B77" s="25" t="s">
        <v>168</v>
      </c>
      <c r="C77" s="26" t="s">
        <v>190</v>
      </c>
      <c r="D77" s="25" t="s">
        <v>193</v>
      </c>
      <c r="E77" s="26" t="s">
        <v>194</v>
      </c>
      <c r="F77" s="27" t="s">
        <v>53</v>
      </c>
      <c r="G77" s="28">
        <f t="shared" si="37"/>
        <v>0</v>
      </c>
      <c r="H77" s="9" t="str">
        <f t="shared" si="33"/>
        <v xml:space="preserve">No Cumple</v>
      </c>
      <c r="I77" s="9">
        <f t="shared" si="38"/>
        <v>0</v>
      </c>
      <c r="J77" s="9">
        <f t="shared" si="36"/>
        <v>0</v>
      </c>
    </row>
    <row r="78" ht="54">
      <c r="A78" s="24" t="s">
        <v>25</v>
      </c>
      <c r="B78" s="25" t="s">
        <v>168</v>
      </c>
      <c r="C78" s="26" t="s">
        <v>190</v>
      </c>
      <c r="D78" s="25" t="s">
        <v>193</v>
      </c>
      <c r="E78" s="26" t="s">
        <v>195</v>
      </c>
      <c r="F78" s="27" t="s">
        <v>53</v>
      </c>
      <c r="G78" s="28">
        <f t="shared" si="37"/>
        <v>0</v>
      </c>
      <c r="H78" s="9" t="str">
        <f t="shared" si="33"/>
        <v xml:space="preserve">No Cumple</v>
      </c>
      <c r="I78" s="9">
        <f t="shared" si="38"/>
        <v>0</v>
      </c>
      <c r="J78" s="9">
        <f t="shared" si="36"/>
        <v>0</v>
      </c>
    </row>
    <row r="79" ht="54">
      <c r="A79" s="24" t="s">
        <v>25</v>
      </c>
      <c r="B79" s="25" t="s">
        <v>168</v>
      </c>
      <c r="C79" s="26" t="s">
        <v>196</v>
      </c>
      <c r="D79" s="25" t="s">
        <v>197</v>
      </c>
      <c r="E79" s="26" t="s">
        <v>198</v>
      </c>
      <c r="F79" s="27" t="s">
        <v>53</v>
      </c>
      <c r="G79" s="28">
        <f t="shared" si="37"/>
        <v>0</v>
      </c>
      <c r="H79" s="9" t="str">
        <f t="shared" si="33"/>
        <v xml:space="preserve">No Cumple</v>
      </c>
      <c r="I79" s="9">
        <f t="shared" si="38"/>
        <v>0</v>
      </c>
      <c r="J79" s="9">
        <f t="shared" si="36"/>
        <v>0</v>
      </c>
    </row>
    <row r="80" ht="72">
      <c r="A80" s="24" t="s">
        <v>25</v>
      </c>
      <c r="B80" s="25" t="s">
        <v>168</v>
      </c>
      <c r="C80" s="26" t="s">
        <v>196</v>
      </c>
      <c r="D80" s="25" t="s">
        <v>197</v>
      </c>
      <c r="E80" s="26" t="s">
        <v>199</v>
      </c>
      <c r="F80" s="27" t="s">
        <v>53</v>
      </c>
      <c r="G80" s="28">
        <f t="shared" si="37"/>
        <v>0</v>
      </c>
      <c r="H80" s="9" t="str">
        <f t="shared" si="33"/>
        <v xml:space="preserve">No Cumple</v>
      </c>
      <c r="I80" s="9">
        <f t="shared" si="38"/>
        <v>0</v>
      </c>
      <c r="J80" s="9">
        <f t="shared" si="36"/>
        <v>0</v>
      </c>
    </row>
    <row r="81" ht="72">
      <c r="A81" s="24" t="s">
        <v>25</v>
      </c>
      <c r="B81" s="25" t="s">
        <v>168</v>
      </c>
      <c r="C81" s="26" t="s">
        <v>196</v>
      </c>
      <c r="D81" s="25" t="s">
        <v>197</v>
      </c>
      <c r="E81" s="26" t="s">
        <v>200</v>
      </c>
      <c r="F81" s="27" t="s">
        <v>53</v>
      </c>
      <c r="G81" s="28">
        <f t="shared" si="37"/>
        <v>0</v>
      </c>
      <c r="H81" s="9" t="str">
        <f t="shared" si="33"/>
        <v xml:space="preserve">No Cumple</v>
      </c>
      <c r="I81" s="9">
        <f t="shared" si="38"/>
        <v>0</v>
      </c>
      <c r="J81" s="9">
        <f t="shared" si="36"/>
        <v>0</v>
      </c>
    </row>
    <row r="82" ht="54">
      <c r="A82" s="24" t="s">
        <v>25</v>
      </c>
      <c r="B82" s="25" t="s">
        <v>201</v>
      </c>
      <c r="C82" s="26" t="s">
        <v>202</v>
      </c>
      <c r="D82" s="25" t="s">
        <v>203</v>
      </c>
      <c r="E82" s="26" t="s">
        <v>204</v>
      </c>
      <c r="F82" s="27" t="s">
        <v>22</v>
      </c>
      <c r="G82" s="28">
        <f t="shared" si="37"/>
        <v>1</v>
      </c>
      <c r="H82" s="9" t="s">
        <v>24</v>
      </c>
      <c r="I82" s="9">
        <f t="shared" si="38"/>
        <v>1</v>
      </c>
      <c r="J82" s="9">
        <f t="shared" si="36"/>
        <v>1</v>
      </c>
    </row>
    <row r="83" ht="54">
      <c r="A83" s="24" t="s">
        <v>25</v>
      </c>
      <c r="B83" s="25" t="s">
        <v>201</v>
      </c>
      <c r="C83" s="26" t="s">
        <v>202</v>
      </c>
      <c r="D83" s="25" t="s">
        <v>203</v>
      </c>
      <c r="E83" s="26" t="s">
        <v>205</v>
      </c>
      <c r="F83" s="27" t="s">
        <v>22</v>
      </c>
      <c r="G83" s="28">
        <f t="shared" si="37"/>
        <v>1</v>
      </c>
      <c r="H83" s="9" t="s">
        <v>24</v>
      </c>
      <c r="I83" s="9">
        <f t="shared" si="38"/>
        <v>1</v>
      </c>
      <c r="J83" s="9">
        <f t="shared" si="36"/>
        <v>1</v>
      </c>
    </row>
    <row r="84" ht="72">
      <c r="A84" s="24" t="s">
        <v>25</v>
      </c>
      <c r="B84" s="25" t="s">
        <v>201</v>
      </c>
      <c r="C84" s="26" t="s">
        <v>202</v>
      </c>
      <c r="D84" s="25" t="s">
        <v>203</v>
      </c>
      <c r="E84" s="26" t="s">
        <v>206</v>
      </c>
      <c r="F84" s="27" t="s">
        <v>22</v>
      </c>
      <c r="G84" s="28">
        <f t="shared" si="37"/>
        <v>1</v>
      </c>
      <c r="H84" s="9" t="s">
        <v>24</v>
      </c>
      <c r="I84" s="9">
        <f t="shared" si="38"/>
        <v>1</v>
      </c>
      <c r="J84" s="9">
        <f t="shared" si="36"/>
        <v>1</v>
      </c>
    </row>
    <row r="85" ht="72">
      <c r="A85" s="24" t="s">
        <v>25</v>
      </c>
      <c r="B85" s="25" t="s">
        <v>201</v>
      </c>
      <c r="C85" s="26" t="s">
        <v>207</v>
      </c>
      <c r="D85" s="25" t="s">
        <v>208</v>
      </c>
      <c r="E85" s="26" t="s">
        <v>209</v>
      </c>
      <c r="F85" s="27" t="s">
        <v>22</v>
      </c>
      <c r="G85" s="28">
        <f t="shared" si="37"/>
        <v>1</v>
      </c>
      <c r="H85" s="9" t="s">
        <v>70</v>
      </c>
      <c r="I85" s="9">
        <f t="shared" si="38"/>
        <v>0.5</v>
      </c>
      <c r="J85" s="9">
        <f t="shared" si="36"/>
        <v>0.75</v>
      </c>
    </row>
    <row r="86" ht="108">
      <c r="A86" s="24" t="s">
        <v>25</v>
      </c>
      <c r="B86" s="25" t="s">
        <v>201</v>
      </c>
      <c r="C86" s="26" t="s">
        <v>207</v>
      </c>
      <c r="D86" s="25" t="s">
        <v>208</v>
      </c>
      <c r="E86" s="26" t="s">
        <v>210</v>
      </c>
      <c r="F86" s="27" t="s">
        <v>70</v>
      </c>
      <c r="G86" s="28">
        <f t="shared" si="37"/>
        <v>0.5</v>
      </c>
      <c r="H86" s="9" t="str">
        <f t="shared" si="33"/>
        <v xml:space="preserve">Cumple Parcialmente</v>
      </c>
      <c r="I86" s="9">
        <f t="shared" si="38"/>
        <v>0.5</v>
      </c>
      <c r="J86" s="9">
        <f t="shared" si="36"/>
        <v>0.5</v>
      </c>
    </row>
    <row r="87" ht="90">
      <c r="A87" s="24" t="s">
        <v>25</v>
      </c>
      <c r="B87" s="25" t="s">
        <v>201</v>
      </c>
      <c r="C87" s="26" t="s">
        <v>207</v>
      </c>
      <c r="D87" s="25" t="s">
        <v>208</v>
      </c>
      <c r="E87" s="26" t="s">
        <v>211</v>
      </c>
      <c r="F87" s="27" t="s">
        <v>53</v>
      </c>
      <c r="G87" s="28">
        <f t="shared" si="37"/>
        <v>0</v>
      </c>
      <c r="H87" s="9" t="str">
        <f t="shared" si="33"/>
        <v xml:space="preserve">No Cumple</v>
      </c>
      <c r="I87" s="9">
        <f t="shared" si="38"/>
        <v>0</v>
      </c>
      <c r="J87" s="9">
        <f t="shared" si="36"/>
        <v>0</v>
      </c>
    </row>
    <row r="88" ht="90">
      <c r="A88" s="24" t="s">
        <v>25</v>
      </c>
      <c r="B88" s="25" t="s">
        <v>201</v>
      </c>
      <c r="C88" s="26" t="s">
        <v>212</v>
      </c>
      <c r="D88" s="25" t="s">
        <v>213</v>
      </c>
      <c r="E88" s="26" t="s">
        <v>214</v>
      </c>
      <c r="F88" s="27" t="s">
        <v>22</v>
      </c>
      <c r="G88" s="28">
        <f t="shared" si="37"/>
        <v>1</v>
      </c>
      <c r="H88" s="9" t="s">
        <v>24</v>
      </c>
      <c r="I88" s="9">
        <f t="shared" si="38"/>
        <v>1</v>
      </c>
      <c r="J88" s="9">
        <f t="shared" si="36"/>
        <v>1</v>
      </c>
    </row>
    <row r="89" ht="90">
      <c r="A89" s="24" t="s">
        <v>25</v>
      </c>
      <c r="B89" s="25" t="s">
        <v>201</v>
      </c>
      <c r="C89" s="26" t="s">
        <v>212</v>
      </c>
      <c r="D89" s="25" t="s">
        <v>213</v>
      </c>
      <c r="E89" s="26" t="s">
        <v>215</v>
      </c>
      <c r="F89" s="27" t="s">
        <v>22</v>
      </c>
      <c r="G89" s="28">
        <f t="shared" si="37"/>
        <v>1</v>
      </c>
      <c r="H89" s="9" t="s">
        <v>24</v>
      </c>
      <c r="I89" s="9">
        <f t="shared" si="38"/>
        <v>1</v>
      </c>
      <c r="J89" s="9">
        <f t="shared" si="36"/>
        <v>1</v>
      </c>
    </row>
    <row r="90" ht="90">
      <c r="A90" s="24" t="s">
        <v>25</v>
      </c>
      <c r="B90" s="25" t="s">
        <v>201</v>
      </c>
      <c r="C90" s="26" t="s">
        <v>212</v>
      </c>
      <c r="D90" s="25" t="s">
        <v>213</v>
      </c>
      <c r="E90" s="26" t="s">
        <v>216</v>
      </c>
      <c r="F90" s="27" t="s">
        <v>22</v>
      </c>
      <c r="G90" s="28">
        <f t="shared" si="37"/>
        <v>1</v>
      </c>
      <c r="H90" s="9" t="s">
        <v>70</v>
      </c>
      <c r="I90" s="9">
        <f t="shared" si="38"/>
        <v>0.5</v>
      </c>
      <c r="J90" s="9">
        <f t="shared" si="36"/>
        <v>0.75</v>
      </c>
    </row>
    <row r="91" ht="90">
      <c r="A91" s="24" t="s">
        <v>25</v>
      </c>
      <c r="B91" s="25" t="s">
        <v>201</v>
      </c>
      <c r="C91" s="26" t="s">
        <v>217</v>
      </c>
      <c r="D91" s="25" t="s">
        <v>218</v>
      </c>
      <c r="E91" s="26" t="s">
        <v>219</v>
      </c>
      <c r="F91" s="27" t="s">
        <v>53</v>
      </c>
      <c r="G91" s="28">
        <f t="shared" si="37"/>
        <v>0</v>
      </c>
      <c r="H91" s="9" t="s">
        <v>70</v>
      </c>
      <c r="I91" s="9">
        <f t="shared" si="38"/>
        <v>0.5</v>
      </c>
      <c r="J91" s="9">
        <f t="shared" si="36"/>
        <v>0.25</v>
      </c>
    </row>
    <row r="92" ht="72">
      <c r="A92" s="24" t="s">
        <v>25</v>
      </c>
      <c r="B92" s="25" t="s">
        <v>201</v>
      </c>
      <c r="C92" s="26" t="s">
        <v>217</v>
      </c>
      <c r="D92" s="25" t="s">
        <v>218</v>
      </c>
      <c r="E92" s="26" t="s">
        <v>220</v>
      </c>
      <c r="F92" s="27" t="s">
        <v>53</v>
      </c>
      <c r="G92" s="28">
        <f t="shared" si="37"/>
        <v>0</v>
      </c>
      <c r="H92" s="9" t="str">
        <f t="shared" si="33"/>
        <v xml:space="preserve">No Cumple</v>
      </c>
      <c r="I92" s="9">
        <f t="shared" si="38"/>
        <v>0</v>
      </c>
      <c r="J92" s="9">
        <f t="shared" si="36"/>
        <v>0</v>
      </c>
    </row>
    <row r="93" ht="54">
      <c r="A93" s="24" t="s">
        <v>25</v>
      </c>
      <c r="B93" s="25" t="s">
        <v>201</v>
      </c>
      <c r="C93" s="26" t="s">
        <v>217</v>
      </c>
      <c r="D93" s="25" t="s">
        <v>218</v>
      </c>
      <c r="E93" s="26" t="s">
        <v>221</v>
      </c>
      <c r="F93" s="27" t="s">
        <v>53</v>
      </c>
      <c r="G93" s="28">
        <f t="shared" si="37"/>
        <v>0</v>
      </c>
      <c r="H93" s="9" t="str">
        <f t="shared" si="33"/>
        <v xml:space="preserve">No Cumple</v>
      </c>
      <c r="I93" s="9">
        <f t="shared" si="38"/>
        <v>0</v>
      </c>
      <c r="J93" s="9">
        <f t="shared" si="36"/>
        <v>0</v>
      </c>
    </row>
    <row r="94" ht="72">
      <c r="A94" s="24" t="s">
        <v>29</v>
      </c>
      <c r="B94" s="25" t="s">
        <v>144</v>
      </c>
      <c r="C94" s="26" t="s">
        <v>145</v>
      </c>
      <c r="D94" s="25" t="s">
        <v>146</v>
      </c>
      <c r="E94" s="26" t="s">
        <v>147</v>
      </c>
      <c r="F94" s="27" t="s">
        <v>22</v>
      </c>
      <c r="G94" s="28">
        <f t="shared" si="37"/>
        <v>1</v>
      </c>
      <c r="H94" s="9" t="s">
        <v>24</v>
      </c>
      <c r="I94" s="9">
        <f t="shared" si="38"/>
        <v>1</v>
      </c>
      <c r="J94" s="9">
        <f t="shared" si="36"/>
        <v>1</v>
      </c>
    </row>
    <row r="95" ht="54">
      <c r="A95" s="24" t="s">
        <v>29</v>
      </c>
      <c r="B95" s="25" t="s">
        <v>144</v>
      </c>
      <c r="C95" s="26" t="s">
        <v>145</v>
      </c>
      <c r="D95" s="25" t="s">
        <v>146</v>
      </c>
      <c r="E95" s="26" t="s">
        <v>148</v>
      </c>
      <c r="F95" s="27" t="s">
        <v>22</v>
      </c>
      <c r="G95" s="28">
        <f t="shared" si="37"/>
        <v>1</v>
      </c>
      <c r="H95" s="9" t="s">
        <v>24</v>
      </c>
      <c r="I95" s="9">
        <f t="shared" si="38"/>
        <v>1</v>
      </c>
      <c r="J95" s="9">
        <f t="shared" si="36"/>
        <v>1</v>
      </c>
    </row>
    <row r="96" ht="72">
      <c r="A96" s="24" t="s">
        <v>29</v>
      </c>
      <c r="B96" s="25" t="s">
        <v>144</v>
      </c>
      <c r="C96" s="26" t="s">
        <v>145</v>
      </c>
      <c r="D96" s="25" t="s">
        <v>146</v>
      </c>
      <c r="E96" s="26" t="s">
        <v>149</v>
      </c>
      <c r="F96" s="27" t="s">
        <v>53</v>
      </c>
      <c r="G96" s="28">
        <f t="shared" si="37"/>
        <v>0</v>
      </c>
      <c r="H96" s="9" t="str">
        <f t="shared" si="33"/>
        <v xml:space="preserve">No Cumple</v>
      </c>
      <c r="I96" s="9">
        <f t="shared" si="38"/>
        <v>0</v>
      </c>
      <c r="J96" s="9">
        <f t="shared" si="36"/>
        <v>0</v>
      </c>
    </row>
    <row r="97" ht="72">
      <c r="A97" s="24" t="s">
        <v>29</v>
      </c>
      <c r="B97" s="25" t="s">
        <v>144</v>
      </c>
      <c r="C97" s="26" t="s">
        <v>145</v>
      </c>
      <c r="D97" s="25" t="s">
        <v>146</v>
      </c>
      <c r="E97" s="26" t="s">
        <v>150</v>
      </c>
      <c r="F97" s="27" t="s">
        <v>70</v>
      </c>
      <c r="G97" s="28">
        <f t="shared" si="37"/>
        <v>0.5</v>
      </c>
      <c r="H97" s="9" t="str">
        <f t="shared" si="33"/>
        <v xml:space="preserve">Cumple Parcialmente</v>
      </c>
      <c r="I97" s="9">
        <f t="shared" si="38"/>
        <v>0.5</v>
      </c>
      <c r="J97" s="9">
        <f t="shared" si="36"/>
        <v>0.5</v>
      </c>
    </row>
    <row r="98" ht="54">
      <c r="A98" s="24" t="s">
        <v>29</v>
      </c>
      <c r="B98" s="25" t="s">
        <v>144</v>
      </c>
      <c r="C98" s="26" t="s">
        <v>151</v>
      </c>
      <c r="D98" s="25" t="s">
        <v>152</v>
      </c>
      <c r="E98" s="26" t="s">
        <v>153</v>
      </c>
      <c r="F98" s="27" t="s">
        <v>22</v>
      </c>
      <c r="G98" s="28">
        <f t="shared" si="37"/>
        <v>1</v>
      </c>
      <c r="H98" s="9" t="s">
        <v>24</v>
      </c>
      <c r="I98" s="9">
        <f t="shared" si="38"/>
        <v>1</v>
      </c>
      <c r="J98" s="9">
        <f t="shared" si="36"/>
        <v>1</v>
      </c>
    </row>
    <row r="99" ht="72">
      <c r="A99" s="24" t="s">
        <v>29</v>
      </c>
      <c r="B99" s="25" t="s">
        <v>144</v>
      </c>
      <c r="C99" s="26" t="s">
        <v>151</v>
      </c>
      <c r="D99" s="25" t="s">
        <v>152</v>
      </c>
      <c r="E99" s="26" t="s">
        <v>154</v>
      </c>
      <c r="F99" s="27" t="s">
        <v>22</v>
      </c>
      <c r="G99" s="28">
        <f t="shared" si="37"/>
        <v>1</v>
      </c>
      <c r="H99" s="9" t="s">
        <v>24</v>
      </c>
      <c r="I99" s="9">
        <f t="shared" si="38"/>
        <v>1</v>
      </c>
      <c r="J99" s="9">
        <f t="shared" si="36"/>
        <v>1</v>
      </c>
    </row>
    <row r="100" ht="72">
      <c r="A100" s="24" t="s">
        <v>29</v>
      </c>
      <c r="B100" s="25" t="s">
        <v>144</v>
      </c>
      <c r="C100" s="26" t="s">
        <v>151</v>
      </c>
      <c r="D100" s="25" t="s">
        <v>152</v>
      </c>
      <c r="E100" s="26" t="s">
        <v>155</v>
      </c>
      <c r="F100" s="27" t="s">
        <v>22</v>
      </c>
      <c r="G100" s="28">
        <f t="shared" si="37"/>
        <v>1</v>
      </c>
      <c r="H100" s="9" t="s">
        <v>24</v>
      </c>
      <c r="I100" s="9">
        <f t="shared" si="38"/>
        <v>1</v>
      </c>
      <c r="J100" s="9">
        <f t="shared" si="36"/>
        <v>1</v>
      </c>
    </row>
    <row r="101" ht="54">
      <c r="A101" s="24" t="s">
        <v>29</v>
      </c>
      <c r="B101" s="25" t="s">
        <v>144</v>
      </c>
      <c r="C101" s="26" t="s">
        <v>151</v>
      </c>
      <c r="D101" s="25" t="s">
        <v>152</v>
      </c>
      <c r="E101" s="26" t="s">
        <v>156</v>
      </c>
      <c r="F101" s="27" t="s">
        <v>53</v>
      </c>
      <c r="G101" s="28">
        <f t="shared" si="37"/>
        <v>0</v>
      </c>
      <c r="H101" s="9" t="str">
        <f t="shared" ref="H101:H131" si="39">IF(OR(F101="No Cumple",F101="Cumple Parcialmente"),F101,"")</f>
        <v xml:space="preserve">No Cumple</v>
      </c>
      <c r="I101" s="9">
        <f t="shared" si="38"/>
        <v>0</v>
      </c>
      <c r="J101" s="9">
        <f t="shared" si="36"/>
        <v>0</v>
      </c>
    </row>
    <row r="102" ht="72">
      <c r="A102" s="24" t="s">
        <v>29</v>
      </c>
      <c r="B102" s="25" t="s">
        <v>144</v>
      </c>
      <c r="C102" s="26" t="s">
        <v>157</v>
      </c>
      <c r="D102" s="25" t="s">
        <v>158</v>
      </c>
      <c r="E102" s="26" t="s">
        <v>159</v>
      </c>
      <c r="F102" s="27" t="s">
        <v>53</v>
      </c>
      <c r="G102" s="28">
        <f t="shared" si="37"/>
        <v>0</v>
      </c>
      <c r="H102" s="9" t="str">
        <f t="shared" si="39"/>
        <v xml:space="preserve">No Cumple</v>
      </c>
      <c r="I102" s="9">
        <f t="shared" si="38"/>
        <v>0</v>
      </c>
      <c r="J102" s="9">
        <f t="shared" si="36"/>
        <v>0</v>
      </c>
    </row>
    <row r="103" ht="72">
      <c r="A103" s="24" t="s">
        <v>29</v>
      </c>
      <c r="B103" s="25" t="s">
        <v>144</v>
      </c>
      <c r="C103" s="26" t="s">
        <v>157</v>
      </c>
      <c r="D103" s="25" t="s">
        <v>158</v>
      </c>
      <c r="E103" s="26" t="s">
        <v>160</v>
      </c>
      <c r="F103" s="27" t="s">
        <v>53</v>
      </c>
      <c r="G103" s="28">
        <f t="shared" si="37"/>
        <v>0</v>
      </c>
      <c r="H103" s="9" t="str">
        <f t="shared" si="39"/>
        <v xml:space="preserve">No Cumple</v>
      </c>
      <c r="I103" s="9">
        <f t="shared" si="38"/>
        <v>0</v>
      </c>
      <c r="J103" s="9">
        <f t="shared" si="36"/>
        <v>0</v>
      </c>
    </row>
    <row r="104" ht="72">
      <c r="A104" s="24" t="s">
        <v>29</v>
      </c>
      <c r="B104" s="25" t="s">
        <v>144</v>
      </c>
      <c r="C104" s="26" t="s">
        <v>157</v>
      </c>
      <c r="D104" s="25" t="s">
        <v>158</v>
      </c>
      <c r="E104" s="26" t="s">
        <v>161</v>
      </c>
      <c r="F104" s="27" t="s">
        <v>53</v>
      </c>
      <c r="G104" s="28">
        <f t="shared" si="37"/>
        <v>0</v>
      </c>
      <c r="H104" s="9" t="str">
        <f t="shared" si="39"/>
        <v xml:space="preserve">No Cumple</v>
      </c>
      <c r="I104" s="9">
        <f t="shared" si="38"/>
        <v>0</v>
      </c>
      <c r="J104" s="9">
        <f t="shared" si="36"/>
        <v>0</v>
      </c>
    </row>
    <row r="105" ht="72">
      <c r="A105" s="24" t="s">
        <v>29</v>
      </c>
      <c r="B105" s="25" t="s">
        <v>144</v>
      </c>
      <c r="C105" s="26" t="s">
        <v>157</v>
      </c>
      <c r="D105" s="25" t="s">
        <v>158</v>
      </c>
      <c r="E105" s="26" t="s">
        <v>162</v>
      </c>
      <c r="F105" s="27" t="s">
        <v>53</v>
      </c>
      <c r="G105" s="28">
        <f t="shared" si="37"/>
        <v>0</v>
      </c>
      <c r="H105" s="9" t="str">
        <f t="shared" si="39"/>
        <v xml:space="preserve">No Cumple</v>
      </c>
      <c r="I105" s="9">
        <f t="shared" si="38"/>
        <v>0</v>
      </c>
      <c r="J105" s="9">
        <f t="shared" si="36"/>
        <v>0</v>
      </c>
    </row>
    <row r="106" ht="72">
      <c r="A106" s="24" t="s">
        <v>29</v>
      </c>
      <c r="B106" s="25" t="s">
        <v>144</v>
      </c>
      <c r="C106" s="26" t="s">
        <v>163</v>
      </c>
      <c r="D106" s="25" t="s">
        <v>163</v>
      </c>
      <c r="E106" s="26" t="s">
        <v>164</v>
      </c>
      <c r="F106" s="27" t="s">
        <v>22</v>
      </c>
      <c r="G106" s="28">
        <f t="shared" si="37"/>
        <v>1</v>
      </c>
      <c r="H106" s="9" t="s">
        <v>24</v>
      </c>
      <c r="I106" s="9">
        <f t="shared" si="38"/>
        <v>1</v>
      </c>
      <c r="J106" s="9">
        <f t="shared" si="36"/>
        <v>1</v>
      </c>
    </row>
    <row r="107" ht="72">
      <c r="A107" s="24" t="s">
        <v>29</v>
      </c>
      <c r="B107" s="25" t="s">
        <v>144</v>
      </c>
      <c r="C107" s="26" t="s">
        <v>163</v>
      </c>
      <c r="D107" s="25" t="s">
        <v>163</v>
      </c>
      <c r="E107" s="26" t="s">
        <v>165</v>
      </c>
      <c r="F107" s="27" t="s">
        <v>22</v>
      </c>
      <c r="G107" s="28">
        <f t="shared" si="37"/>
        <v>1</v>
      </c>
      <c r="H107" s="9" t="s">
        <v>24</v>
      </c>
      <c r="I107" s="9">
        <f t="shared" si="38"/>
        <v>1</v>
      </c>
      <c r="J107" s="9">
        <f t="shared" si="36"/>
        <v>1</v>
      </c>
    </row>
    <row r="108" ht="72">
      <c r="A108" s="24" t="s">
        <v>29</v>
      </c>
      <c r="B108" s="25" t="s">
        <v>144</v>
      </c>
      <c r="C108" s="26" t="s">
        <v>163</v>
      </c>
      <c r="D108" s="25" t="s">
        <v>163</v>
      </c>
      <c r="E108" s="26" t="s">
        <v>166</v>
      </c>
      <c r="F108" s="27" t="s">
        <v>22</v>
      </c>
      <c r="G108" s="28">
        <f t="shared" si="37"/>
        <v>1</v>
      </c>
      <c r="H108" s="9" t="s">
        <v>24</v>
      </c>
      <c r="I108" s="9">
        <f t="shared" si="38"/>
        <v>1</v>
      </c>
      <c r="J108" s="9">
        <f t="shared" si="36"/>
        <v>1</v>
      </c>
    </row>
    <row r="109" ht="54">
      <c r="A109" s="24" t="s">
        <v>29</v>
      </c>
      <c r="B109" s="25" t="s">
        <v>144</v>
      </c>
      <c r="C109" s="26" t="s">
        <v>163</v>
      </c>
      <c r="D109" s="25" t="s">
        <v>163</v>
      </c>
      <c r="E109" s="26" t="s">
        <v>167</v>
      </c>
      <c r="F109" s="27" t="s">
        <v>22</v>
      </c>
      <c r="G109" s="28">
        <f t="shared" si="37"/>
        <v>1</v>
      </c>
      <c r="H109" s="9" t="s">
        <v>24</v>
      </c>
      <c r="I109" s="9">
        <f t="shared" si="38"/>
        <v>1</v>
      </c>
      <c r="J109" s="9">
        <f t="shared" si="36"/>
        <v>1</v>
      </c>
    </row>
    <row r="110" ht="90">
      <c r="A110" s="24" t="s">
        <v>29</v>
      </c>
      <c r="B110" s="25" t="s">
        <v>168</v>
      </c>
      <c r="C110" s="26" t="s">
        <v>169</v>
      </c>
      <c r="D110" s="25" t="s">
        <v>170</v>
      </c>
      <c r="E110" s="26" t="s">
        <v>171</v>
      </c>
      <c r="F110" s="27" t="s">
        <v>53</v>
      </c>
      <c r="G110" s="28">
        <f t="shared" si="37"/>
        <v>0</v>
      </c>
      <c r="H110" s="9" t="str">
        <f t="shared" si="39"/>
        <v xml:space="preserve">No Cumple</v>
      </c>
      <c r="I110" s="9">
        <f t="shared" si="38"/>
        <v>0</v>
      </c>
      <c r="J110" s="9">
        <f t="shared" si="36"/>
        <v>0</v>
      </c>
    </row>
    <row r="111" ht="72">
      <c r="A111" s="24" t="s">
        <v>29</v>
      </c>
      <c r="B111" s="25" t="s">
        <v>168</v>
      </c>
      <c r="C111" s="26" t="s">
        <v>169</v>
      </c>
      <c r="D111" s="25" t="s">
        <v>170</v>
      </c>
      <c r="E111" s="26" t="s">
        <v>172</v>
      </c>
      <c r="F111" s="27" t="s">
        <v>53</v>
      </c>
      <c r="G111" s="28">
        <f t="shared" si="37"/>
        <v>0</v>
      </c>
      <c r="H111" s="9" t="str">
        <f t="shared" si="39"/>
        <v xml:space="preserve">No Cumple</v>
      </c>
      <c r="I111" s="9">
        <f t="shared" si="38"/>
        <v>0</v>
      </c>
      <c r="J111" s="9">
        <f t="shared" si="36"/>
        <v>0</v>
      </c>
    </row>
    <row r="112" ht="54">
      <c r="A112" s="24" t="s">
        <v>29</v>
      </c>
      <c r="B112" s="25" t="s">
        <v>168</v>
      </c>
      <c r="C112" s="26" t="s">
        <v>169</v>
      </c>
      <c r="D112" s="25" t="s">
        <v>170</v>
      </c>
      <c r="E112" s="26" t="s">
        <v>173</v>
      </c>
      <c r="F112" s="27" t="s">
        <v>70</v>
      </c>
      <c r="G112" s="28">
        <f t="shared" si="37"/>
        <v>0.5</v>
      </c>
      <c r="H112" s="9" t="str">
        <f t="shared" si="39"/>
        <v xml:space="preserve">Cumple Parcialmente</v>
      </c>
      <c r="I112" s="9">
        <f t="shared" si="38"/>
        <v>0.5</v>
      </c>
      <c r="J112" s="9">
        <f t="shared" si="36"/>
        <v>0.5</v>
      </c>
    </row>
    <row r="113" ht="72">
      <c r="A113" s="24" t="s">
        <v>29</v>
      </c>
      <c r="B113" s="25" t="s">
        <v>168</v>
      </c>
      <c r="C113" s="26" t="s">
        <v>174</v>
      </c>
      <c r="D113" s="25" t="s">
        <v>175</v>
      </c>
      <c r="E113" s="26" t="s">
        <v>176</v>
      </c>
      <c r="F113" s="27" t="s">
        <v>70</v>
      </c>
      <c r="G113" s="28">
        <f t="shared" si="37"/>
        <v>0.5</v>
      </c>
      <c r="H113" s="9" t="str">
        <f t="shared" si="39"/>
        <v xml:space="preserve">Cumple Parcialmente</v>
      </c>
      <c r="I113" s="9">
        <f t="shared" si="38"/>
        <v>0.5</v>
      </c>
      <c r="J113" s="9">
        <f t="shared" si="36"/>
        <v>0.5</v>
      </c>
    </row>
    <row r="114" ht="90">
      <c r="A114" s="24" t="s">
        <v>29</v>
      </c>
      <c r="B114" s="25" t="s">
        <v>168</v>
      </c>
      <c r="C114" s="26" t="s">
        <v>174</v>
      </c>
      <c r="D114" s="25" t="s">
        <v>175</v>
      </c>
      <c r="E114" s="26" t="s">
        <v>177</v>
      </c>
      <c r="F114" s="27" t="s">
        <v>53</v>
      </c>
      <c r="G114" s="28">
        <f t="shared" si="37"/>
        <v>0</v>
      </c>
      <c r="H114" s="9" t="str">
        <f t="shared" si="39"/>
        <v xml:space="preserve">No Cumple</v>
      </c>
      <c r="I114" s="9">
        <f t="shared" si="38"/>
        <v>0</v>
      </c>
      <c r="J114" s="9">
        <f t="shared" si="36"/>
        <v>0</v>
      </c>
    </row>
    <row r="115" ht="72">
      <c r="A115" s="24" t="s">
        <v>29</v>
      </c>
      <c r="B115" s="25" t="s">
        <v>168</v>
      </c>
      <c r="C115" s="26" t="s">
        <v>174</v>
      </c>
      <c r="D115" s="25" t="s">
        <v>175</v>
      </c>
      <c r="E115" s="26" t="s">
        <v>178</v>
      </c>
      <c r="F115" s="27" t="s">
        <v>53</v>
      </c>
      <c r="G115" s="28">
        <f t="shared" si="37"/>
        <v>0</v>
      </c>
      <c r="H115" s="9" t="str">
        <f t="shared" si="39"/>
        <v xml:space="preserve">No Cumple</v>
      </c>
      <c r="I115" s="9">
        <f t="shared" si="38"/>
        <v>0</v>
      </c>
      <c r="J115" s="9">
        <f t="shared" si="36"/>
        <v>0</v>
      </c>
    </row>
    <row r="116" ht="72">
      <c r="A116" s="24" t="s">
        <v>29</v>
      </c>
      <c r="B116" s="25" t="s">
        <v>168</v>
      </c>
      <c r="C116" s="26" t="s">
        <v>179</v>
      </c>
      <c r="D116" s="25" t="s">
        <v>180</v>
      </c>
      <c r="E116" s="26" t="s">
        <v>181</v>
      </c>
      <c r="F116" s="27" t="s">
        <v>70</v>
      </c>
      <c r="G116" s="28">
        <f t="shared" si="37"/>
        <v>0.5</v>
      </c>
      <c r="H116" s="9" t="str">
        <f t="shared" si="39"/>
        <v xml:space="preserve">Cumple Parcialmente</v>
      </c>
      <c r="I116" s="9">
        <f t="shared" si="38"/>
        <v>0.5</v>
      </c>
      <c r="J116" s="9">
        <f t="shared" si="36"/>
        <v>0.5</v>
      </c>
    </row>
    <row r="117" ht="90">
      <c r="A117" s="24" t="s">
        <v>29</v>
      </c>
      <c r="B117" s="25" t="s">
        <v>168</v>
      </c>
      <c r="C117" s="26" t="s">
        <v>179</v>
      </c>
      <c r="D117" s="25" t="s">
        <v>182</v>
      </c>
      <c r="E117" s="26" t="s">
        <v>183</v>
      </c>
      <c r="F117" s="27" t="s">
        <v>70</v>
      </c>
      <c r="G117" s="28">
        <f t="shared" si="37"/>
        <v>0.5</v>
      </c>
      <c r="H117" s="9" t="str">
        <f t="shared" si="39"/>
        <v xml:space="preserve">Cumple Parcialmente</v>
      </c>
      <c r="I117" s="9">
        <f t="shared" si="38"/>
        <v>0.5</v>
      </c>
      <c r="J117" s="9">
        <f t="shared" si="36"/>
        <v>0.5</v>
      </c>
    </row>
    <row r="118" ht="72">
      <c r="A118" s="24" t="s">
        <v>29</v>
      </c>
      <c r="B118" s="25" t="s">
        <v>168</v>
      </c>
      <c r="C118" s="26" t="s">
        <v>179</v>
      </c>
      <c r="D118" s="25" t="s">
        <v>182</v>
      </c>
      <c r="E118" s="26" t="s">
        <v>184</v>
      </c>
      <c r="F118" s="27" t="s">
        <v>70</v>
      </c>
      <c r="G118" s="28">
        <f t="shared" si="37"/>
        <v>0.5</v>
      </c>
      <c r="H118" s="9" t="str">
        <f t="shared" si="39"/>
        <v xml:space="preserve">Cumple Parcialmente</v>
      </c>
      <c r="I118" s="9">
        <f t="shared" si="38"/>
        <v>0.5</v>
      </c>
      <c r="J118" s="9">
        <f t="shared" si="36"/>
        <v>0.5</v>
      </c>
    </row>
    <row r="119" ht="72">
      <c r="A119" s="24" t="s">
        <v>29</v>
      </c>
      <c r="B119" s="25" t="s">
        <v>168</v>
      </c>
      <c r="C119" s="26" t="s">
        <v>185</v>
      </c>
      <c r="D119" s="25" t="s">
        <v>186</v>
      </c>
      <c r="E119" s="26" t="s">
        <v>187</v>
      </c>
      <c r="F119" s="27" t="s">
        <v>53</v>
      </c>
      <c r="G119" s="28">
        <f t="shared" si="37"/>
        <v>0</v>
      </c>
      <c r="H119" s="9" t="str">
        <f t="shared" si="39"/>
        <v xml:space="preserve">No Cumple</v>
      </c>
      <c r="I119" s="9">
        <f t="shared" si="38"/>
        <v>0</v>
      </c>
      <c r="J119" s="9">
        <f t="shared" si="36"/>
        <v>0</v>
      </c>
    </row>
    <row r="120" ht="72">
      <c r="A120" s="24" t="s">
        <v>29</v>
      </c>
      <c r="B120" s="25" t="s">
        <v>168</v>
      </c>
      <c r="C120" s="26" t="s">
        <v>185</v>
      </c>
      <c r="D120" s="25" t="s">
        <v>186</v>
      </c>
      <c r="E120" s="26" t="s">
        <v>188</v>
      </c>
      <c r="F120" s="27" t="s">
        <v>53</v>
      </c>
      <c r="G120" s="28">
        <f t="shared" si="37"/>
        <v>0</v>
      </c>
      <c r="H120" s="9" t="str">
        <f t="shared" si="39"/>
        <v xml:space="preserve">No Cumple</v>
      </c>
      <c r="I120" s="9">
        <f t="shared" si="38"/>
        <v>0</v>
      </c>
      <c r="J120" s="9">
        <f t="shared" si="36"/>
        <v>0</v>
      </c>
    </row>
    <row r="121" ht="72">
      <c r="A121" s="24" t="s">
        <v>29</v>
      </c>
      <c r="B121" s="25" t="s">
        <v>168</v>
      </c>
      <c r="C121" s="26" t="s">
        <v>185</v>
      </c>
      <c r="D121" s="25" t="s">
        <v>186</v>
      </c>
      <c r="E121" s="26" t="s">
        <v>189</v>
      </c>
      <c r="F121" s="27" t="s">
        <v>53</v>
      </c>
      <c r="G121" s="28">
        <f t="shared" si="37"/>
        <v>0</v>
      </c>
      <c r="H121" s="9" t="str">
        <f t="shared" si="39"/>
        <v xml:space="preserve">No Cumple</v>
      </c>
      <c r="I121" s="9">
        <f t="shared" si="38"/>
        <v>0</v>
      </c>
      <c r="J121" s="9">
        <f t="shared" si="36"/>
        <v>0</v>
      </c>
    </row>
    <row r="122" ht="54">
      <c r="A122" s="24" t="s">
        <v>29</v>
      </c>
      <c r="B122" s="25" t="s">
        <v>168</v>
      </c>
      <c r="C122" s="26" t="s">
        <v>190</v>
      </c>
      <c r="D122" s="25" t="s">
        <v>191</v>
      </c>
      <c r="E122" s="26" t="s">
        <v>192</v>
      </c>
      <c r="F122" s="27" t="s">
        <v>53</v>
      </c>
      <c r="G122" s="28">
        <f t="shared" si="37"/>
        <v>0</v>
      </c>
      <c r="H122" s="9" t="str">
        <f t="shared" si="39"/>
        <v xml:space="preserve">No Cumple</v>
      </c>
      <c r="I122" s="9">
        <f t="shared" si="38"/>
        <v>0</v>
      </c>
      <c r="J122" s="9">
        <f t="shared" si="36"/>
        <v>0</v>
      </c>
    </row>
    <row r="123" ht="54">
      <c r="A123" s="24" t="s">
        <v>29</v>
      </c>
      <c r="B123" s="25" t="s">
        <v>168</v>
      </c>
      <c r="C123" s="26" t="s">
        <v>190</v>
      </c>
      <c r="D123" s="25" t="s">
        <v>193</v>
      </c>
      <c r="E123" s="26" t="s">
        <v>194</v>
      </c>
      <c r="F123" s="27" t="s">
        <v>53</v>
      </c>
      <c r="G123" s="28">
        <f t="shared" si="37"/>
        <v>0</v>
      </c>
      <c r="H123" s="9" t="str">
        <f t="shared" si="39"/>
        <v xml:space="preserve">No Cumple</v>
      </c>
      <c r="I123" s="9">
        <f t="shared" si="38"/>
        <v>0</v>
      </c>
      <c r="J123" s="9">
        <f t="shared" si="36"/>
        <v>0</v>
      </c>
    </row>
    <row r="124" ht="54">
      <c r="A124" s="24" t="s">
        <v>29</v>
      </c>
      <c r="B124" s="25" t="s">
        <v>168</v>
      </c>
      <c r="C124" s="26" t="s">
        <v>190</v>
      </c>
      <c r="D124" s="25" t="s">
        <v>193</v>
      </c>
      <c r="E124" s="26" t="s">
        <v>195</v>
      </c>
      <c r="F124" s="27" t="s">
        <v>53</v>
      </c>
      <c r="G124" s="28">
        <f t="shared" si="37"/>
        <v>0</v>
      </c>
      <c r="H124" s="9" t="str">
        <f t="shared" si="39"/>
        <v xml:space="preserve">No Cumple</v>
      </c>
      <c r="I124" s="9">
        <f t="shared" si="38"/>
        <v>0</v>
      </c>
      <c r="J124" s="9">
        <f t="shared" si="36"/>
        <v>0</v>
      </c>
    </row>
    <row r="125" ht="54">
      <c r="A125" s="24" t="s">
        <v>29</v>
      </c>
      <c r="B125" s="25" t="s">
        <v>168</v>
      </c>
      <c r="C125" s="26" t="s">
        <v>196</v>
      </c>
      <c r="D125" s="25" t="s">
        <v>197</v>
      </c>
      <c r="E125" s="26" t="s">
        <v>198</v>
      </c>
      <c r="F125" s="27" t="s">
        <v>53</v>
      </c>
      <c r="G125" s="28">
        <f t="shared" si="37"/>
        <v>0</v>
      </c>
      <c r="H125" s="9" t="str">
        <f t="shared" si="39"/>
        <v xml:space="preserve">No Cumple</v>
      </c>
      <c r="I125" s="9">
        <f t="shared" si="38"/>
        <v>0</v>
      </c>
      <c r="J125" s="9">
        <f t="shared" si="36"/>
        <v>0</v>
      </c>
    </row>
    <row r="126" ht="72">
      <c r="A126" s="24" t="s">
        <v>29</v>
      </c>
      <c r="B126" s="25" t="s">
        <v>168</v>
      </c>
      <c r="C126" s="26" t="s">
        <v>196</v>
      </c>
      <c r="D126" s="25" t="s">
        <v>197</v>
      </c>
      <c r="E126" s="26" t="s">
        <v>199</v>
      </c>
      <c r="F126" s="27" t="s">
        <v>22</v>
      </c>
      <c r="G126" s="28">
        <f t="shared" si="37"/>
        <v>1</v>
      </c>
      <c r="H126" s="9" t="s">
        <v>70</v>
      </c>
      <c r="I126" s="9">
        <f t="shared" si="38"/>
        <v>0.5</v>
      </c>
      <c r="J126" s="9">
        <f t="shared" si="36"/>
        <v>0.75</v>
      </c>
    </row>
    <row r="127" ht="72">
      <c r="A127" s="24" t="s">
        <v>29</v>
      </c>
      <c r="B127" s="25" t="s">
        <v>168</v>
      </c>
      <c r="C127" s="26" t="s">
        <v>196</v>
      </c>
      <c r="D127" s="25" t="s">
        <v>197</v>
      </c>
      <c r="E127" s="26" t="s">
        <v>200</v>
      </c>
      <c r="F127" s="27" t="s">
        <v>53</v>
      </c>
      <c r="G127" s="28">
        <f t="shared" si="37"/>
        <v>0</v>
      </c>
      <c r="H127" s="9" t="str">
        <f t="shared" si="39"/>
        <v xml:space="preserve">No Cumple</v>
      </c>
      <c r="I127" s="9">
        <f t="shared" si="38"/>
        <v>0</v>
      </c>
      <c r="J127" s="9">
        <f t="shared" si="36"/>
        <v>0</v>
      </c>
    </row>
    <row r="128" ht="54">
      <c r="A128" s="24" t="s">
        <v>29</v>
      </c>
      <c r="B128" s="25" t="s">
        <v>201</v>
      </c>
      <c r="C128" s="26" t="s">
        <v>202</v>
      </c>
      <c r="D128" s="25" t="s">
        <v>203</v>
      </c>
      <c r="E128" s="26" t="s">
        <v>204</v>
      </c>
      <c r="F128" s="27" t="s">
        <v>53</v>
      </c>
      <c r="G128" s="28">
        <f t="shared" si="37"/>
        <v>0</v>
      </c>
      <c r="H128" s="9" t="str">
        <f t="shared" si="39"/>
        <v xml:space="preserve">No Cumple</v>
      </c>
      <c r="I128" s="9">
        <f t="shared" si="38"/>
        <v>0</v>
      </c>
      <c r="J128" s="9">
        <f t="shared" si="36"/>
        <v>0</v>
      </c>
    </row>
    <row r="129" ht="54">
      <c r="A129" s="24" t="s">
        <v>29</v>
      </c>
      <c r="B129" s="25" t="s">
        <v>201</v>
      </c>
      <c r="C129" s="26" t="s">
        <v>202</v>
      </c>
      <c r="D129" s="25" t="s">
        <v>203</v>
      </c>
      <c r="E129" s="26" t="s">
        <v>205</v>
      </c>
      <c r="F129" s="27" t="s">
        <v>53</v>
      </c>
      <c r="G129" s="28">
        <f t="shared" si="37"/>
        <v>0</v>
      </c>
      <c r="H129" s="9" t="str">
        <f t="shared" si="39"/>
        <v xml:space="preserve">No Cumple</v>
      </c>
      <c r="I129" s="9">
        <f t="shared" si="38"/>
        <v>0</v>
      </c>
      <c r="J129" s="9">
        <f t="shared" si="36"/>
        <v>0</v>
      </c>
    </row>
    <row r="130" ht="72">
      <c r="A130" s="24" t="s">
        <v>29</v>
      </c>
      <c r="B130" s="25" t="s">
        <v>201</v>
      </c>
      <c r="C130" s="26" t="s">
        <v>202</v>
      </c>
      <c r="D130" s="25" t="s">
        <v>203</v>
      </c>
      <c r="E130" s="26" t="s">
        <v>206</v>
      </c>
      <c r="F130" s="27" t="s">
        <v>53</v>
      </c>
      <c r="G130" s="28">
        <f t="shared" si="37"/>
        <v>0</v>
      </c>
      <c r="H130" s="9" t="str">
        <f t="shared" si="39"/>
        <v xml:space="preserve">No Cumple</v>
      </c>
      <c r="I130" s="9">
        <f t="shared" si="38"/>
        <v>0</v>
      </c>
      <c r="J130" s="9">
        <f t="shared" ref="J130:J193" si="40">AVERAGE(G130,I130)</f>
        <v>0</v>
      </c>
    </row>
    <row r="131" ht="72">
      <c r="A131" s="24" t="s">
        <v>29</v>
      </c>
      <c r="B131" s="25" t="s">
        <v>201</v>
      </c>
      <c r="C131" s="26" t="s">
        <v>207</v>
      </c>
      <c r="D131" s="25" t="s">
        <v>208</v>
      </c>
      <c r="E131" s="26" t="s">
        <v>209</v>
      </c>
      <c r="F131" s="27" t="s">
        <v>53</v>
      </c>
      <c r="G131" s="28">
        <f t="shared" ref="G131:G194" si="41">IF(F131="Cumple",1,IF(F131="Cumple Parcialmente",0.5,IF(F131="No Cumple",0,"")))</f>
        <v>0</v>
      </c>
      <c r="H131" s="9" t="str">
        <f t="shared" si="39"/>
        <v xml:space="preserve">No Cumple</v>
      </c>
      <c r="I131" s="9">
        <f t="shared" ref="I131:I194" si="42">IF(H131="Cumple",1,IF(H131="Cumple Parcialmente",0.5,IF(H131="No Cumple",0,"")))</f>
        <v>0</v>
      </c>
      <c r="J131" s="9">
        <f t="shared" si="40"/>
        <v>0</v>
      </c>
    </row>
    <row r="132" ht="108">
      <c r="A132" s="24" t="s">
        <v>29</v>
      </c>
      <c r="B132" s="25" t="s">
        <v>201</v>
      </c>
      <c r="C132" s="26" t="s">
        <v>207</v>
      </c>
      <c r="D132" s="25" t="s">
        <v>208</v>
      </c>
      <c r="E132" s="26" t="s">
        <v>210</v>
      </c>
      <c r="F132" s="27" t="s">
        <v>53</v>
      </c>
      <c r="G132" s="28">
        <f t="shared" si="41"/>
        <v>0</v>
      </c>
      <c r="H132" s="9" t="str">
        <f t="shared" ref="H132:H195" si="43">IF(OR(F132="No Cumple", F132="Cumple Parcialmente"), F132, "")</f>
        <v xml:space="preserve">No Cumple</v>
      </c>
      <c r="I132" s="9">
        <f t="shared" si="42"/>
        <v>0</v>
      </c>
      <c r="J132" s="9">
        <f t="shared" si="40"/>
        <v>0</v>
      </c>
    </row>
    <row r="133" ht="90">
      <c r="A133" s="24" t="s">
        <v>29</v>
      </c>
      <c r="B133" s="25" t="s">
        <v>201</v>
      </c>
      <c r="C133" s="26" t="s">
        <v>207</v>
      </c>
      <c r="D133" s="25" t="s">
        <v>208</v>
      </c>
      <c r="E133" s="26" t="s">
        <v>211</v>
      </c>
      <c r="F133" s="27" t="s">
        <v>53</v>
      </c>
      <c r="G133" s="28">
        <f t="shared" si="41"/>
        <v>0</v>
      </c>
      <c r="H133" s="9" t="str">
        <f t="shared" si="43"/>
        <v xml:space="preserve">No Cumple</v>
      </c>
      <c r="I133" s="9">
        <f t="shared" si="42"/>
        <v>0</v>
      </c>
      <c r="J133" s="9">
        <f t="shared" si="40"/>
        <v>0</v>
      </c>
    </row>
    <row r="134" ht="90">
      <c r="A134" s="24" t="s">
        <v>29</v>
      </c>
      <c r="B134" s="25" t="s">
        <v>201</v>
      </c>
      <c r="C134" s="26" t="s">
        <v>212</v>
      </c>
      <c r="D134" s="25" t="s">
        <v>213</v>
      </c>
      <c r="E134" s="26" t="s">
        <v>214</v>
      </c>
      <c r="F134" s="27" t="s">
        <v>53</v>
      </c>
      <c r="G134" s="28">
        <f t="shared" si="41"/>
        <v>0</v>
      </c>
      <c r="H134" s="9" t="str">
        <f t="shared" si="43"/>
        <v xml:space="preserve">No Cumple</v>
      </c>
      <c r="I134" s="9">
        <f t="shared" si="42"/>
        <v>0</v>
      </c>
      <c r="J134" s="9">
        <f t="shared" si="40"/>
        <v>0</v>
      </c>
    </row>
    <row r="135" ht="90">
      <c r="A135" s="24" t="s">
        <v>29</v>
      </c>
      <c r="B135" s="25" t="s">
        <v>201</v>
      </c>
      <c r="C135" s="26" t="s">
        <v>212</v>
      </c>
      <c r="D135" s="25" t="s">
        <v>213</v>
      </c>
      <c r="E135" s="26" t="s">
        <v>215</v>
      </c>
      <c r="F135" s="27" t="s">
        <v>53</v>
      </c>
      <c r="G135" s="28">
        <f t="shared" si="41"/>
        <v>0</v>
      </c>
      <c r="H135" s="9" t="str">
        <f t="shared" si="43"/>
        <v xml:space="preserve">No Cumple</v>
      </c>
      <c r="I135" s="9">
        <f t="shared" si="42"/>
        <v>0</v>
      </c>
      <c r="J135" s="9">
        <f t="shared" si="40"/>
        <v>0</v>
      </c>
    </row>
    <row r="136" ht="90">
      <c r="A136" s="24" t="s">
        <v>29</v>
      </c>
      <c r="B136" s="25" t="s">
        <v>201</v>
      </c>
      <c r="C136" s="26" t="s">
        <v>212</v>
      </c>
      <c r="D136" s="25" t="s">
        <v>213</v>
      </c>
      <c r="E136" s="26" t="s">
        <v>216</v>
      </c>
      <c r="F136" s="27" t="s">
        <v>53</v>
      </c>
      <c r="G136" s="28">
        <f t="shared" si="41"/>
        <v>0</v>
      </c>
      <c r="H136" s="9" t="str">
        <f t="shared" si="43"/>
        <v xml:space="preserve">No Cumple</v>
      </c>
      <c r="I136" s="9">
        <f t="shared" si="42"/>
        <v>0</v>
      </c>
      <c r="J136" s="9">
        <f t="shared" si="40"/>
        <v>0</v>
      </c>
    </row>
    <row r="137" ht="90">
      <c r="A137" s="24" t="s">
        <v>29</v>
      </c>
      <c r="B137" s="25" t="s">
        <v>201</v>
      </c>
      <c r="C137" s="26" t="s">
        <v>217</v>
      </c>
      <c r="D137" s="25" t="s">
        <v>218</v>
      </c>
      <c r="E137" s="26" t="s">
        <v>219</v>
      </c>
      <c r="F137" s="27" t="s">
        <v>53</v>
      </c>
      <c r="G137" s="28">
        <f t="shared" si="41"/>
        <v>0</v>
      </c>
      <c r="H137" s="9" t="str">
        <f t="shared" si="43"/>
        <v xml:space="preserve">No Cumple</v>
      </c>
      <c r="I137" s="9">
        <f t="shared" si="42"/>
        <v>0</v>
      </c>
      <c r="J137" s="9">
        <f t="shared" si="40"/>
        <v>0</v>
      </c>
    </row>
    <row r="138" ht="72">
      <c r="A138" s="24" t="s">
        <v>29</v>
      </c>
      <c r="B138" s="25" t="s">
        <v>201</v>
      </c>
      <c r="C138" s="26" t="s">
        <v>217</v>
      </c>
      <c r="D138" s="25" t="s">
        <v>218</v>
      </c>
      <c r="E138" s="26" t="s">
        <v>220</v>
      </c>
      <c r="F138" s="27" t="s">
        <v>53</v>
      </c>
      <c r="G138" s="28">
        <f t="shared" si="41"/>
        <v>0</v>
      </c>
      <c r="H138" s="9" t="str">
        <f t="shared" si="43"/>
        <v xml:space="preserve">No Cumple</v>
      </c>
      <c r="I138" s="9">
        <f t="shared" si="42"/>
        <v>0</v>
      </c>
      <c r="J138" s="9">
        <f t="shared" si="40"/>
        <v>0</v>
      </c>
    </row>
    <row r="139" ht="54">
      <c r="A139" s="24" t="s">
        <v>29</v>
      </c>
      <c r="B139" s="25" t="s">
        <v>201</v>
      </c>
      <c r="C139" s="26" t="s">
        <v>217</v>
      </c>
      <c r="D139" s="25" t="s">
        <v>218</v>
      </c>
      <c r="E139" s="26" t="s">
        <v>221</v>
      </c>
      <c r="F139" s="27" t="s">
        <v>53</v>
      </c>
      <c r="G139" s="28">
        <f t="shared" si="41"/>
        <v>0</v>
      </c>
      <c r="H139" s="9" t="str">
        <f t="shared" si="43"/>
        <v xml:space="preserve">No Cumple</v>
      </c>
      <c r="I139" s="9">
        <f t="shared" si="42"/>
        <v>0</v>
      </c>
      <c r="J139" s="9">
        <f t="shared" si="40"/>
        <v>0</v>
      </c>
    </row>
    <row r="140" ht="72">
      <c r="A140" s="24" t="s">
        <v>32</v>
      </c>
      <c r="B140" s="25" t="s">
        <v>144</v>
      </c>
      <c r="C140" s="26" t="s">
        <v>145</v>
      </c>
      <c r="D140" s="25" t="s">
        <v>146</v>
      </c>
      <c r="E140" s="26" t="s">
        <v>147</v>
      </c>
      <c r="F140" s="27" t="s">
        <v>22</v>
      </c>
      <c r="G140" s="28">
        <f t="shared" si="41"/>
        <v>1</v>
      </c>
      <c r="H140" s="9" t="s">
        <v>24</v>
      </c>
      <c r="I140" s="9">
        <f t="shared" si="42"/>
        <v>1</v>
      </c>
      <c r="J140" s="9">
        <f t="shared" si="40"/>
        <v>1</v>
      </c>
    </row>
    <row r="141" ht="54">
      <c r="A141" s="24" t="s">
        <v>32</v>
      </c>
      <c r="B141" s="25" t="s">
        <v>144</v>
      </c>
      <c r="C141" s="26" t="s">
        <v>145</v>
      </c>
      <c r="D141" s="25" t="s">
        <v>146</v>
      </c>
      <c r="E141" s="26" t="s">
        <v>148</v>
      </c>
      <c r="F141" s="27" t="s">
        <v>22</v>
      </c>
      <c r="G141" s="28">
        <f t="shared" si="41"/>
        <v>1</v>
      </c>
      <c r="H141" s="9" t="s">
        <v>70</v>
      </c>
      <c r="I141" s="9">
        <f t="shared" si="42"/>
        <v>0.5</v>
      </c>
      <c r="J141" s="9">
        <f t="shared" si="40"/>
        <v>0.75</v>
      </c>
    </row>
    <row r="142" ht="72">
      <c r="A142" s="24" t="s">
        <v>32</v>
      </c>
      <c r="B142" s="25" t="s">
        <v>144</v>
      </c>
      <c r="C142" s="26" t="s">
        <v>145</v>
      </c>
      <c r="D142" s="25" t="s">
        <v>146</v>
      </c>
      <c r="E142" s="26" t="s">
        <v>149</v>
      </c>
      <c r="F142" s="27" t="s">
        <v>22</v>
      </c>
      <c r="G142" s="28">
        <f t="shared" si="41"/>
        <v>1</v>
      </c>
      <c r="H142" s="9" t="s">
        <v>24</v>
      </c>
      <c r="I142" s="9">
        <f t="shared" si="42"/>
        <v>1</v>
      </c>
      <c r="J142" s="9">
        <f t="shared" si="40"/>
        <v>1</v>
      </c>
    </row>
    <row r="143" ht="72">
      <c r="A143" s="24" t="s">
        <v>32</v>
      </c>
      <c r="B143" s="25" t="s">
        <v>144</v>
      </c>
      <c r="C143" s="26" t="s">
        <v>145</v>
      </c>
      <c r="D143" s="25" t="s">
        <v>146</v>
      </c>
      <c r="E143" s="26" t="s">
        <v>150</v>
      </c>
      <c r="F143" s="27" t="s">
        <v>22</v>
      </c>
      <c r="G143" s="28">
        <f t="shared" si="41"/>
        <v>1</v>
      </c>
      <c r="H143" s="9" t="s">
        <v>24</v>
      </c>
      <c r="I143" s="9">
        <f t="shared" si="42"/>
        <v>1</v>
      </c>
      <c r="J143" s="9">
        <f t="shared" si="40"/>
        <v>1</v>
      </c>
    </row>
    <row r="144" ht="54">
      <c r="A144" s="24" t="s">
        <v>32</v>
      </c>
      <c r="B144" s="25" t="s">
        <v>144</v>
      </c>
      <c r="C144" s="26" t="s">
        <v>151</v>
      </c>
      <c r="D144" s="25" t="s">
        <v>152</v>
      </c>
      <c r="E144" s="26" t="s">
        <v>153</v>
      </c>
      <c r="F144" s="27" t="s">
        <v>22</v>
      </c>
      <c r="G144" s="28">
        <f t="shared" si="41"/>
        <v>1</v>
      </c>
      <c r="H144" s="9" t="s">
        <v>24</v>
      </c>
      <c r="I144" s="9">
        <f t="shared" si="42"/>
        <v>1</v>
      </c>
      <c r="J144" s="9">
        <f t="shared" si="40"/>
        <v>1</v>
      </c>
    </row>
    <row r="145" ht="72">
      <c r="A145" s="24" t="s">
        <v>32</v>
      </c>
      <c r="B145" s="25" t="s">
        <v>144</v>
      </c>
      <c r="C145" s="26" t="s">
        <v>151</v>
      </c>
      <c r="D145" s="25" t="s">
        <v>152</v>
      </c>
      <c r="E145" s="26" t="s">
        <v>154</v>
      </c>
      <c r="F145" s="27" t="s">
        <v>22</v>
      </c>
      <c r="G145" s="28">
        <f t="shared" si="41"/>
        <v>1</v>
      </c>
      <c r="H145" s="9" t="s">
        <v>24</v>
      </c>
      <c r="I145" s="9">
        <f t="shared" si="42"/>
        <v>1</v>
      </c>
      <c r="J145" s="9">
        <f t="shared" si="40"/>
        <v>1</v>
      </c>
    </row>
    <row r="146" ht="72">
      <c r="A146" s="24" t="s">
        <v>32</v>
      </c>
      <c r="B146" s="25" t="s">
        <v>144</v>
      </c>
      <c r="C146" s="26" t="s">
        <v>151</v>
      </c>
      <c r="D146" s="25" t="s">
        <v>152</v>
      </c>
      <c r="E146" s="26" t="s">
        <v>155</v>
      </c>
      <c r="F146" s="27" t="s">
        <v>22</v>
      </c>
      <c r="G146" s="28">
        <f t="shared" si="41"/>
        <v>1</v>
      </c>
      <c r="H146" s="9" t="s">
        <v>24</v>
      </c>
      <c r="I146" s="9">
        <f t="shared" si="42"/>
        <v>1</v>
      </c>
      <c r="J146" s="9">
        <f t="shared" si="40"/>
        <v>1</v>
      </c>
    </row>
    <row r="147" ht="54">
      <c r="A147" s="24" t="s">
        <v>32</v>
      </c>
      <c r="B147" s="25" t="s">
        <v>144</v>
      </c>
      <c r="C147" s="26" t="s">
        <v>151</v>
      </c>
      <c r="D147" s="25" t="s">
        <v>152</v>
      </c>
      <c r="E147" s="26" t="s">
        <v>156</v>
      </c>
      <c r="F147" s="27" t="s">
        <v>53</v>
      </c>
      <c r="G147" s="28">
        <f t="shared" si="41"/>
        <v>0</v>
      </c>
      <c r="H147" s="9" t="str">
        <f t="shared" si="43"/>
        <v xml:space="preserve">No Cumple</v>
      </c>
      <c r="I147" s="9">
        <f t="shared" si="42"/>
        <v>0</v>
      </c>
      <c r="J147" s="9">
        <f t="shared" si="40"/>
        <v>0</v>
      </c>
    </row>
    <row r="148" ht="72">
      <c r="A148" s="24" t="s">
        <v>32</v>
      </c>
      <c r="B148" s="25" t="s">
        <v>144</v>
      </c>
      <c r="C148" s="26" t="s">
        <v>157</v>
      </c>
      <c r="D148" s="25" t="s">
        <v>158</v>
      </c>
      <c r="E148" s="26" t="s">
        <v>159</v>
      </c>
      <c r="F148" s="27" t="s">
        <v>22</v>
      </c>
      <c r="G148" s="28">
        <f t="shared" si="41"/>
        <v>1</v>
      </c>
      <c r="H148" s="9" t="s">
        <v>24</v>
      </c>
      <c r="I148" s="9">
        <f t="shared" si="42"/>
        <v>1</v>
      </c>
      <c r="J148" s="9">
        <f t="shared" si="40"/>
        <v>1</v>
      </c>
    </row>
    <row r="149" ht="72">
      <c r="A149" s="24" t="s">
        <v>32</v>
      </c>
      <c r="B149" s="25" t="s">
        <v>144</v>
      </c>
      <c r="C149" s="26" t="s">
        <v>157</v>
      </c>
      <c r="D149" s="25" t="s">
        <v>158</v>
      </c>
      <c r="E149" s="26" t="s">
        <v>160</v>
      </c>
      <c r="F149" s="27" t="s">
        <v>22</v>
      </c>
      <c r="G149" s="28">
        <f t="shared" si="41"/>
        <v>1</v>
      </c>
      <c r="H149" s="9" t="s">
        <v>24</v>
      </c>
      <c r="I149" s="9">
        <f t="shared" si="42"/>
        <v>1</v>
      </c>
      <c r="J149" s="9">
        <f t="shared" si="40"/>
        <v>1</v>
      </c>
    </row>
    <row r="150" ht="72">
      <c r="A150" s="24" t="s">
        <v>32</v>
      </c>
      <c r="B150" s="25" t="s">
        <v>144</v>
      </c>
      <c r="C150" s="26" t="s">
        <v>157</v>
      </c>
      <c r="D150" s="25" t="s">
        <v>158</v>
      </c>
      <c r="E150" s="26" t="s">
        <v>161</v>
      </c>
      <c r="F150" s="27" t="s">
        <v>22</v>
      </c>
      <c r="G150" s="28">
        <f t="shared" si="41"/>
        <v>1</v>
      </c>
      <c r="H150" s="9" t="s">
        <v>24</v>
      </c>
      <c r="I150" s="9">
        <f t="shared" si="42"/>
        <v>1</v>
      </c>
      <c r="J150" s="9">
        <f t="shared" si="40"/>
        <v>1</v>
      </c>
    </row>
    <row r="151" ht="72">
      <c r="A151" s="24" t="s">
        <v>32</v>
      </c>
      <c r="B151" s="25" t="s">
        <v>144</v>
      </c>
      <c r="C151" s="26" t="s">
        <v>157</v>
      </c>
      <c r="D151" s="25" t="s">
        <v>158</v>
      </c>
      <c r="E151" s="26" t="s">
        <v>162</v>
      </c>
      <c r="F151" s="27" t="s">
        <v>22</v>
      </c>
      <c r="G151" s="28">
        <f t="shared" si="41"/>
        <v>1</v>
      </c>
      <c r="H151" s="9" t="s">
        <v>24</v>
      </c>
      <c r="I151" s="9">
        <f t="shared" si="42"/>
        <v>1</v>
      </c>
      <c r="J151" s="9">
        <f t="shared" si="40"/>
        <v>1</v>
      </c>
    </row>
    <row r="152" ht="72">
      <c r="A152" s="24" t="s">
        <v>32</v>
      </c>
      <c r="B152" s="25" t="s">
        <v>144</v>
      </c>
      <c r="C152" s="26" t="s">
        <v>163</v>
      </c>
      <c r="D152" s="25" t="s">
        <v>163</v>
      </c>
      <c r="E152" s="26" t="s">
        <v>164</v>
      </c>
      <c r="F152" s="27" t="s">
        <v>22</v>
      </c>
      <c r="G152" s="28">
        <f t="shared" si="41"/>
        <v>1</v>
      </c>
      <c r="H152" s="9" t="s">
        <v>24</v>
      </c>
      <c r="I152" s="9">
        <f t="shared" si="42"/>
        <v>1</v>
      </c>
      <c r="J152" s="9">
        <f t="shared" si="40"/>
        <v>1</v>
      </c>
    </row>
    <row r="153" ht="72">
      <c r="A153" s="24" t="s">
        <v>32</v>
      </c>
      <c r="B153" s="25" t="s">
        <v>144</v>
      </c>
      <c r="C153" s="26" t="s">
        <v>163</v>
      </c>
      <c r="D153" s="25" t="s">
        <v>163</v>
      </c>
      <c r="E153" s="26" t="s">
        <v>165</v>
      </c>
      <c r="F153" s="27" t="s">
        <v>22</v>
      </c>
      <c r="G153" s="28">
        <f t="shared" si="41"/>
        <v>1</v>
      </c>
      <c r="H153" s="9" t="s">
        <v>24</v>
      </c>
      <c r="I153" s="9">
        <f t="shared" si="42"/>
        <v>1</v>
      </c>
      <c r="J153" s="9">
        <f t="shared" si="40"/>
        <v>1</v>
      </c>
    </row>
    <row r="154" ht="72">
      <c r="A154" s="24" t="s">
        <v>32</v>
      </c>
      <c r="B154" s="25" t="s">
        <v>144</v>
      </c>
      <c r="C154" s="26" t="s">
        <v>163</v>
      </c>
      <c r="D154" s="25" t="s">
        <v>163</v>
      </c>
      <c r="E154" s="26" t="s">
        <v>166</v>
      </c>
      <c r="F154" s="27" t="s">
        <v>22</v>
      </c>
      <c r="G154" s="28">
        <f t="shared" si="41"/>
        <v>1</v>
      </c>
      <c r="H154" s="9" t="s">
        <v>24</v>
      </c>
      <c r="I154" s="9">
        <f t="shared" si="42"/>
        <v>1</v>
      </c>
      <c r="J154" s="9">
        <f t="shared" si="40"/>
        <v>1</v>
      </c>
    </row>
    <row r="155" ht="54">
      <c r="A155" s="24" t="s">
        <v>32</v>
      </c>
      <c r="B155" s="25" t="s">
        <v>144</v>
      </c>
      <c r="C155" s="26" t="s">
        <v>163</v>
      </c>
      <c r="D155" s="25" t="s">
        <v>163</v>
      </c>
      <c r="E155" s="26" t="s">
        <v>167</v>
      </c>
      <c r="F155" s="27" t="s">
        <v>22</v>
      </c>
      <c r="G155" s="28">
        <f t="shared" si="41"/>
        <v>1</v>
      </c>
      <c r="H155" s="9" t="s">
        <v>24</v>
      </c>
      <c r="I155" s="9">
        <f t="shared" si="42"/>
        <v>1</v>
      </c>
      <c r="J155" s="9">
        <f t="shared" si="40"/>
        <v>1</v>
      </c>
    </row>
    <row r="156" ht="90">
      <c r="A156" s="24" t="s">
        <v>32</v>
      </c>
      <c r="B156" s="25" t="s">
        <v>168</v>
      </c>
      <c r="C156" s="26" t="s">
        <v>169</v>
      </c>
      <c r="D156" s="25" t="s">
        <v>170</v>
      </c>
      <c r="E156" s="26" t="s">
        <v>171</v>
      </c>
      <c r="F156" s="27" t="s">
        <v>22</v>
      </c>
      <c r="G156" s="28">
        <f t="shared" si="41"/>
        <v>1</v>
      </c>
      <c r="H156" s="9" t="s">
        <v>70</v>
      </c>
      <c r="I156" s="9">
        <f t="shared" si="42"/>
        <v>0.5</v>
      </c>
      <c r="J156" s="9">
        <f t="shared" si="40"/>
        <v>0.75</v>
      </c>
    </row>
    <row r="157" ht="72">
      <c r="A157" s="24" t="s">
        <v>32</v>
      </c>
      <c r="B157" s="25" t="s">
        <v>168</v>
      </c>
      <c r="C157" s="26" t="s">
        <v>169</v>
      </c>
      <c r="D157" s="25" t="s">
        <v>170</v>
      </c>
      <c r="E157" s="26" t="s">
        <v>172</v>
      </c>
      <c r="F157" s="27" t="s">
        <v>22</v>
      </c>
      <c r="G157" s="28">
        <f t="shared" si="41"/>
        <v>1</v>
      </c>
      <c r="H157" s="9" t="s">
        <v>24</v>
      </c>
      <c r="I157" s="9">
        <f t="shared" si="42"/>
        <v>1</v>
      </c>
      <c r="J157" s="9">
        <f t="shared" si="40"/>
        <v>1</v>
      </c>
    </row>
    <row r="158" ht="54">
      <c r="A158" s="24" t="s">
        <v>32</v>
      </c>
      <c r="B158" s="25" t="s">
        <v>168</v>
      </c>
      <c r="C158" s="26" t="s">
        <v>169</v>
      </c>
      <c r="D158" s="25" t="s">
        <v>170</v>
      </c>
      <c r="E158" s="26" t="s">
        <v>173</v>
      </c>
      <c r="F158" s="27" t="s">
        <v>22</v>
      </c>
      <c r="G158" s="28">
        <f t="shared" si="41"/>
        <v>1</v>
      </c>
      <c r="H158" s="9" t="s">
        <v>24</v>
      </c>
      <c r="I158" s="9">
        <f t="shared" si="42"/>
        <v>1</v>
      </c>
      <c r="J158" s="9">
        <f t="shared" si="40"/>
        <v>1</v>
      </c>
    </row>
    <row r="159" ht="72">
      <c r="A159" s="24" t="s">
        <v>32</v>
      </c>
      <c r="B159" s="25" t="s">
        <v>168</v>
      </c>
      <c r="C159" s="26" t="s">
        <v>174</v>
      </c>
      <c r="D159" s="25" t="s">
        <v>175</v>
      </c>
      <c r="E159" s="26" t="s">
        <v>176</v>
      </c>
      <c r="F159" s="27" t="s">
        <v>22</v>
      </c>
      <c r="G159" s="28">
        <f t="shared" si="41"/>
        <v>1</v>
      </c>
      <c r="H159" s="9" t="s">
        <v>24</v>
      </c>
      <c r="I159" s="9">
        <f t="shared" si="42"/>
        <v>1</v>
      </c>
      <c r="J159" s="9">
        <f t="shared" si="40"/>
        <v>1</v>
      </c>
    </row>
    <row r="160" ht="90">
      <c r="A160" s="24" t="s">
        <v>32</v>
      </c>
      <c r="B160" s="25" t="s">
        <v>168</v>
      </c>
      <c r="C160" s="26" t="s">
        <v>174</v>
      </c>
      <c r="D160" s="25" t="s">
        <v>175</v>
      </c>
      <c r="E160" s="26" t="s">
        <v>177</v>
      </c>
      <c r="F160" s="27" t="s">
        <v>22</v>
      </c>
      <c r="G160" s="28">
        <f t="shared" si="41"/>
        <v>1</v>
      </c>
      <c r="H160" s="9" t="s">
        <v>70</v>
      </c>
      <c r="I160" s="9">
        <f t="shared" si="42"/>
        <v>0.5</v>
      </c>
      <c r="J160" s="9">
        <f t="shared" si="40"/>
        <v>0.75</v>
      </c>
    </row>
    <row r="161" ht="72">
      <c r="A161" s="24" t="s">
        <v>32</v>
      </c>
      <c r="B161" s="25" t="s">
        <v>168</v>
      </c>
      <c r="C161" s="26" t="s">
        <v>174</v>
      </c>
      <c r="D161" s="25" t="s">
        <v>175</v>
      </c>
      <c r="E161" s="26" t="s">
        <v>178</v>
      </c>
      <c r="F161" s="27" t="s">
        <v>22</v>
      </c>
      <c r="G161" s="28">
        <f t="shared" si="41"/>
        <v>1</v>
      </c>
      <c r="H161" s="9" t="s">
        <v>24</v>
      </c>
      <c r="I161" s="9">
        <f t="shared" si="42"/>
        <v>1</v>
      </c>
      <c r="J161" s="9">
        <f t="shared" si="40"/>
        <v>1</v>
      </c>
    </row>
    <row r="162" ht="72">
      <c r="A162" s="24" t="s">
        <v>32</v>
      </c>
      <c r="B162" s="25" t="s">
        <v>168</v>
      </c>
      <c r="C162" s="26" t="s">
        <v>179</v>
      </c>
      <c r="D162" s="25" t="s">
        <v>180</v>
      </c>
      <c r="E162" s="26" t="s">
        <v>181</v>
      </c>
      <c r="F162" s="27" t="s">
        <v>70</v>
      </c>
      <c r="G162" s="28">
        <f t="shared" si="41"/>
        <v>0.5</v>
      </c>
      <c r="H162" s="9" t="s">
        <v>24</v>
      </c>
      <c r="I162" s="9">
        <f t="shared" si="42"/>
        <v>1</v>
      </c>
      <c r="J162" s="9">
        <f t="shared" si="40"/>
        <v>0.75</v>
      </c>
    </row>
    <row r="163" ht="90">
      <c r="A163" s="24" t="s">
        <v>32</v>
      </c>
      <c r="B163" s="25" t="s">
        <v>168</v>
      </c>
      <c r="C163" s="26" t="s">
        <v>179</v>
      </c>
      <c r="D163" s="25" t="s">
        <v>182</v>
      </c>
      <c r="E163" s="26" t="s">
        <v>183</v>
      </c>
      <c r="F163" s="27" t="s">
        <v>22</v>
      </c>
      <c r="G163" s="28">
        <f t="shared" si="41"/>
        <v>1</v>
      </c>
      <c r="H163" s="9" t="s">
        <v>24</v>
      </c>
      <c r="I163" s="9">
        <f t="shared" si="42"/>
        <v>1</v>
      </c>
      <c r="J163" s="9">
        <f t="shared" si="40"/>
        <v>1</v>
      </c>
    </row>
    <row r="164" ht="72">
      <c r="A164" s="24" t="s">
        <v>32</v>
      </c>
      <c r="B164" s="25" t="s">
        <v>168</v>
      </c>
      <c r="C164" s="26" t="s">
        <v>179</v>
      </c>
      <c r="D164" s="25" t="s">
        <v>182</v>
      </c>
      <c r="E164" s="26" t="s">
        <v>184</v>
      </c>
      <c r="F164" s="27" t="s">
        <v>22</v>
      </c>
      <c r="G164" s="28">
        <f t="shared" si="41"/>
        <v>1</v>
      </c>
      <c r="H164" s="9" t="s">
        <v>24</v>
      </c>
      <c r="I164" s="9">
        <f t="shared" si="42"/>
        <v>1</v>
      </c>
      <c r="J164" s="9">
        <f t="shared" si="40"/>
        <v>1</v>
      </c>
    </row>
    <row r="165" ht="72">
      <c r="A165" s="24" t="s">
        <v>32</v>
      </c>
      <c r="B165" s="25" t="s">
        <v>168</v>
      </c>
      <c r="C165" s="26" t="s">
        <v>185</v>
      </c>
      <c r="D165" s="25" t="s">
        <v>186</v>
      </c>
      <c r="E165" s="26" t="s">
        <v>187</v>
      </c>
      <c r="F165" s="27" t="s">
        <v>53</v>
      </c>
      <c r="G165" s="28">
        <f t="shared" si="41"/>
        <v>0</v>
      </c>
      <c r="H165" s="9" t="str">
        <f t="shared" si="43"/>
        <v xml:space="preserve">No Cumple</v>
      </c>
      <c r="I165" s="9">
        <f t="shared" si="42"/>
        <v>0</v>
      </c>
      <c r="J165" s="9">
        <f t="shared" si="40"/>
        <v>0</v>
      </c>
    </row>
    <row r="166" ht="72">
      <c r="A166" s="24" t="s">
        <v>32</v>
      </c>
      <c r="B166" s="25" t="s">
        <v>168</v>
      </c>
      <c r="C166" s="26" t="s">
        <v>185</v>
      </c>
      <c r="D166" s="25" t="s">
        <v>186</v>
      </c>
      <c r="E166" s="26" t="s">
        <v>188</v>
      </c>
      <c r="F166" s="27" t="s">
        <v>53</v>
      </c>
      <c r="G166" s="28">
        <f t="shared" si="41"/>
        <v>0</v>
      </c>
      <c r="H166" s="9" t="str">
        <f t="shared" si="43"/>
        <v xml:space="preserve">No Cumple</v>
      </c>
      <c r="I166" s="9">
        <f t="shared" si="42"/>
        <v>0</v>
      </c>
      <c r="J166" s="9">
        <f t="shared" si="40"/>
        <v>0</v>
      </c>
    </row>
    <row r="167" ht="72">
      <c r="A167" s="24" t="s">
        <v>32</v>
      </c>
      <c r="B167" s="25" t="s">
        <v>168</v>
      </c>
      <c r="C167" s="26" t="s">
        <v>185</v>
      </c>
      <c r="D167" s="25" t="s">
        <v>186</v>
      </c>
      <c r="E167" s="26" t="s">
        <v>189</v>
      </c>
      <c r="F167" s="27" t="s">
        <v>53</v>
      </c>
      <c r="G167" s="28">
        <f t="shared" si="41"/>
        <v>0</v>
      </c>
      <c r="H167" s="9" t="str">
        <f t="shared" si="43"/>
        <v xml:space="preserve">No Cumple</v>
      </c>
      <c r="I167" s="9">
        <f t="shared" si="42"/>
        <v>0</v>
      </c>
      <c r="J167" s="9">
        <f t="shared" si="40"/>
        <v>0</v>
      </c>
    </row>
    <row r="168" ht="54">
      <c r="A168" s="24" t="s">
        <v>32</v>
      </c>
      <c r="B168" s="25" t="s">
        <v>168</v>
      </c>
      <c r="C168" s="26" t="s">
        <v>190</v>
      </c>
      <c r="D168" s="25" t="s">
        <v>191</v>
      </c>
      <c r="E168" s="26" t="s">
        <v>192</v>
      </c>
      <c r="F168" s="27" t="s">
        <v>53</v>
      </c>
      <c r="G168" s="28">
        <f t="shared" si="41"/>
        <v>0</v>
      </c>
      <c r="H168" s="9" t="str">
        <f t="shared" si="43"/>
        <v xml:space="preserve">No Cumple</v>
      </c>
      <c r="I168" s="9">
        <f t="shared" si="42"/>
        <v>0</v>
      </c>
      <c r="J168" s="9">
        <f t="shared" si="40"/>
        <v>0</v>
      </c>
    </row>
    <row r="169" ht="54">
      <c r="A169" s="24" t="s">
        <v>32</v>
      </c>
      <c r="B169" s="25" t="s">
        <v>168</v>
      </c>
      <c r="C169" s="26" t="s">
        <v>190</v>
      </c>
      <c r="D169" s="25" t="s">
        <v>193</v>
      </c>
      <c r="E169" s="26" t="s">
        <v>194</v>
      </c>
      <c r="F169" s="27" t="s">
        <v>53</v>
      </c>
      <c r="G169" s="28">
        <f t="shared" si="41"/>
        <v>0</v>
      </c>
      <c r="H169" s="9" t="str">
        <f t="shared" si="43"/>
        <v xml:space="preserve">No Cumple</v>
      </c>
      <c r="I169" s="9">
        <f t="shared" si="42"/>
        <v>0</v>
      </c>
      <c r="J169" s="9">
        <f t="shared" si="40"/>
        <v>0</v>
      </c>
    </row>
    <row r="170" ht="54">
      <c r="A170" s="24" t="s">
        <v>32</v>
      </c>
      <c r="B170" s="25" t="s">
        <v>168</v>
      </c>
      <c r="C170" s="26" t="s">
        <v>190</v>
      </c>
      <c r="D170" s="25" t="s">
        <v>193</v>
      </c>
      <c r="E170" s="26" t="s">
        <v>195</v>
      </c>
      <c r="F170" s="27" t="s">
        <v>53</v>
      </c>
      <c r="G170" s="28">
        <f t="shared" si="41"/>
        <v>0</v>
      </c>
      <c r="H170" s="9" t="str">
        <f t="shared" si="43"/>
        <v xml:space="preserve">No Cumple</v>
      </c>
      <c r="I170" s="9">
        <f t="shared" si="42"/>
        <v>0</v>
      </c>
      <c r="J170" s="9">
        <f t="shared" si="40"/>
        <v>0</v>
      </c>
    </row>
    <row r="171" ht="54">
      <c r="A171" s="24" t="s">
        <v>32</v>
      </c>
      <c r="B171" s="25" t="s">
        <v>168</v>
      </c>
      <c r="C171" s="26" t="s">
        <v>196</v>
      </c>
      <c r="D171" s="25" t="s">
        <v>197</v>
      </c>
      <c r="E171" s="26" t="s">
        <v>198</v>
      </c>
      <c r="F171" s="27" t="s">
        <v>70</v>
      </c>
      <c r="G171" s="28">
        <f t="shared" si="41"/>
        <v>0.5</v>
      </c>
      <c r="H171" s="9" t="str">
        <f t="shared" si="43"/>
        <v xml:space="preserve">Cumple Parcialmente</v>
      </c>
      <c r="I171" s="9">
        <f t="shared" si="42"/>
        <v>0.5</v>
      </c>
      <c r="J171" s="9">
        <f t="shared" si="40"/>
        <v>0.5</v>
      </c>
    </row>
    <row r="172" ht="72">
      <c r="A172" s="24" t="s">
        <v>32</v>
      </c>
      <c r="B172" s="25" t="s">
        <v>168</v>
      </c>
      <c r="C172" s="26" t="s">
        <v>196</v>
      </c>
      <c r="D172" s="25" t="s">
        <v>197</v>
      </c>
      <c r="E172" s="26" t="s">
        <v>199</v>
      </c>
      <c r="F172" s="27" t="s">
        <v>70</v>
      </c>
      <c r="G172" s="28">
        <f t="shared" si="41"/>
        <v>0.5</v>
      </c>
      <c r="H172" s="9" t="str">
        <f t="shared" si="43"/>
        <v xml:space="preserve">Cumple Parcialmente</v>
      </c>
      <c r="I172" s="9">
        <f t="shared" si="42"/>
        <v>0.5</v>
      </c>
      <c r="J172" s="9">
        <f t="shared" si="40"/>
        <v>0.5</v>
      </c>
    </row>
    <row r="173" ht="72">
      <c r="A173" s="24" t="s">
        <v>32</v>
      </c>
      <c r="B173" s="25" t="s">
        <v>168</v>
      </c>
      <c r="C173" s="26" t="s">
        <v>196</v>
      </c>
      <c r="D173" s="25" t="s">
        <v>197</v>
      </c>
      <c r="E173" s="26" t="s">
        <v>200</v>
      </c>
      <c r="F173" s="27" t="s">
        <v>53</v>
      </c>
      <c r="G173" s="28">
        <f t="shared" si="41"/>
        <v>0</v>
      </c>
      <c r="H173" s="9" t="str">
        <f t="shared" si="43"/>
        <v xml:space="preserve">No Cumple</v>
      </c>
      <c r="I173" s="9">
        <f t="shared" si="42"/>
        <v>0</v>
      </c>
      <c r="J173" s="9">
        <f t="shared" si="40"/>
        <v>0</v>
      </c>
    </row>
    <row r="174" ht="54">
      <c r="A174" s="24" t="s">
        <v>32</v>
      </c>
      <c r="B174" s="25" t="s">
        <v>201</v>
      </c>
      <c r="C174" s="26" t="s">
        <v>202</v>
      </c>
      <c r="D174" s="25" t="s">
        <v>203</v>
      </c>
      <c r="E174" s="26" t="s">
        <v>204</v>
      </c>
      <c r="F174" s="27" t="s">
        <v>22</v>
      </c>
      <c r="G174" s="28">
        <f t="shared" si="41"/>
        <v>1</v>
      </c>
      <c r="H174" s="9" t="s">
        <v>24</v>
      </c>
      <c r="I174" s="9">
        <f t="shared" si="42"/>
        <v>1</v>
      </c>
      <c r="J174" s="9">
        <f t="shared" si="40"/>
        <v>1</v>
      </c>
    </row>
    <row r="175" ht="54">
      <c r="A175" s="24" t="s">
        <v>32</v>
      </c>
      <c r="B175" s="25" t="s">
        <v>201</v>
      </c>
      <c r="C175" s="26" t="s">
        <v>202</v>
      </c>
      <c r="D175" s="25" t="s">
        <v>203</v>
      </c>
      <c r="E175" s="26" t="s">
        <v>205</v>
      </c>
      <c r="F175" s="27" t="s">
        <v>22</v>
      </c>
      <c r="G175" s="28">
        <f t="shared" si="41"/>
        <v>1</v>
      </c>
      <c r="H175" s="9" t="s">
        <v>24</v>
      </c>
      <c r="I175" s="9">
        <f t="shared" si="42"/>
        <v>1</v>
      </c>
      <c r="J175" s="9">
        <f t="shared" si="40"/>
        <v>1</v>
      </c>
    </row>
    <row r="176" ht="72">
      <c r="A176" s="24" t="s">
        <v>32</v>
      </c>
      <c r="B176" s="25" t="s">
        <v>201</v>
      </c>
      <c r="C176" s="26" t="s">
        <v>202</v>
      </c>
      <c r="D176" s="25" t="s">
        <v>203</v>
      </c>
      <c r="E176" s="26" t="s">
        <v>206</v>
      </c>
      <c r="F176" s="27" t="s">
        <v>22</v>
      </c>
      <c r="G176" s="28">
        <f t="shared" si="41"/>
        <v>1</v>
      </c>
      <c r="H176" s="9" t="s">
        <v>24</v>
      </c>
      <c r="I176" s="9">
        <f t="shared" si="42"/>
        <v>1</v>
      </c>
      <c r="J176" s="9">
        <f t="shared" si="40"/>
        <v>1</v>
      </c>
    </row>
    <row r="177" ht="72">
      <c r="A177" s="24" t="s">
        <v>32</v>
      </c>
      <c r="B177" s="25" t="s">
        <v>201</v>
      </c>
      <c r="C177" s="26" t="s">
        <v>207</v>
      </c>
      <c r="D177" s="25" t="s">
        <v>208</v>
      </c>
      <c r="E177" s="26" t="s">
        <v>209</v>
      </c>
      <c r="F177" s="27" t="s">
        <v>53</v>
      </c>
      <c r="G177" s="28">
        <f t="shared" si="41"/>
        <v>0</v>
      </c>
      <c r="H177" s="9" t="s">
        <v>70</v>
      </c>
      <c r="I177" s="9">
        <f t="shared" si="42"/>
        <v>0.5</v>
      </c>
      <c r="J177" s="9">
        <f t="shared" si="40"/>
        <v>0.25</v>
      </c>
    </row>
    <row r="178" ht="108">
      <c r="A178" s="24" t="s">
        <v>32</v>
      </c>
      <c r="B178" s="25" t="s">
        <v>201</v>
      </c>
      <c r="C178" s="26" t="s">
        <v>207</v>
      </c>
      <c r="D178" s="25" t="s">
        <v>208</v>
      </c>
      <c r="E178" s="26" t="s">
        <v>210</v>
      </c>
      <c r="F178" s="27" t="s">
        <v>53</v>
      </c>
      <c r="G178" s="28">
        <f t="shared" si="41"/>
        <v>0</v>
      </c>
      <c r="H178" s="9" t="str">
        <f t="shared" si="43"/>
        <v xml:space="preserve">No Cumple</v>
      </c>
      <c r="I178" s="9">
        <f t="shared" si="42"/>
        <v>0</v>
      </c>
      <c r="J178" s="9">
        <f t="shared" si="40"/>
        <v>0</v>
      </c>
    </row>
    <row r="179" ht="90">
      <c r="A179" s="24" t="s">
        <v>32</v>
      </c>
      <c r="B179" s="25" t="s">
        <v>201</v>
      </c>
      <c r="C179" s="26" t="s">
        <v>207</v>
      </c>
      <c r="D179" s="25" t="s">
        <v>208</v>
      </c>
      <c r="E179" s="26" t="s">
        <v>211</v>
      </c>
      <c r="F179" s="27" t="s">
        <v>53</v>
      </c>
      <c r="G179" s="28">
        <f t="shared" si="41"/>
        <v>0</v>
      </c>
      <c r="H179" s="9" t="str">
        <f t="shared" si="43"/>
        <v xml:space="preserve">No Cumple</v>
      </c>
      <c r="I179" s="9">
        <f t="shared" si="42"/>
        <v>0</v>
      </c>
      <c r="J179" s="9">
        <f t="shared" si="40"/>
        <v>0</v>
      </c>
    </row>
    <row r="180" ht="90">
      <c r="A180" s="24" t="s">
        <v>32</v>
      </c>
      <c r="B180" s="25" t="s">
        <v>201</v>
      </c>
      <c r="C180" s="26" t="s">
        <v>212</v>
      </c>
      <c r="D180" s="25" t="s">
        <v>213</v>
      </c>
      <c r="E180" s="26" t="s">
        <v>214</v>
      </c>
      <c r="F180" s="27" t="s">
        <v>22</v>
      </c>
      <c r="G180" s="28">
        <f t="shared" si="41"/>
        <v>1</v>
      </c>
      <c r="H180" s="9" t="s">
        <v>24</v>
      </c>
      <c r="I180" s="9">
        <f t="shared" si="42"/>
        <v>1</v>
      </c>
      <c r="J180" s="9">
        <f t="shared" si="40"/>
        <v>1</v>
      </c>
    </row>
    <row r="181" ht="90">
      <c r="A181" s="24" t="s">
        <v>32</v>
      </c>
      <c r="B181" s="25" t="s">
        <v>201</v>
      </c>
      <c r="C181" s="26" t="s">
        <v>212</v>
      </c>
      <c r="D181" s="25" t="s">
        <v>213</v>
      </c>
      <c r="E181" s="26" t="s">
        <v>215</v>
      </c>
      <c r="F181" s="27" t="s">
        <v>22</v>
      </c>
      <c r="G181" s="28">
        <f t="shared" si="41"/>
        <v>1</v>
      </c>
      <c r="H181" s="9" t="s">
        <v>24</v>
      </c>
      <c r="I181" s="9">
        <f t="shared" si="42"/>
        <v>1</v>
      </c>
      <c r="J181" s="9">
        <f t="shared" si="40"/>
        <v>1</v>
      </c>
    </row>
    <row r="182" ht="90">
      <c r="A182" s="24" t="s">
        <v>32</v>
      </c>
      <c r="B182" s="25" t="s">
        <v>201</v>
      </c>
      <c r="C182" s="26" t="s">
        <v>212</v>
      </c>
      <c r="D182" s="25" t="s">
        <v>213</v>
      </c>
      <c r="E182" s="26" t="s">
        <v>216</v>
      </c>
      <c r="F182" s="27" t="s">
        <v>53</v>
      </c>
      <c r="G182" s="28">
        <f t="shared" si="41"/>
        <v>0</v>
      </c>
      <c r="H182" s="9" t="str">
        <f t="shared" si="43"/>
        <v xml:space="preserve">No Cumple</v>
      </c>
      <c r="I182" s="9">
        <f t="shared" si="42"/>
        <v>0</v>
      </c>
      <c r="J182" s="9">
        <f t="shared" si="40"/>
        <v>0</v>
      </c>
    </row>
    <row r="183" ht="90">
      <c r="A183" s="24" t="s">
        <v>32</v>
      </c>
      <c r="B183" s="25" t="s">
        <v>201</v>
      </c>
      <c r="C183" s="26" t="s">
        <v>217</v>
      </c>
      <c r="D183" s="25" t="s">
        <v>218</v>
      </c>
      <c r="E183" s="26" t="s">
        <v>219</v>
      </c>
      <c r="F183" s="27" t="s">
        <v>70</v>
      </c>
      <c r="G183" s="28">
        <f t="shared" si="41"/>
        <v>0.5</v>
      </c>
      <c r="H183" s="9" t="str">
        <f t="shared" si="43"/>
        <v xml:space="preserve">Cumple Parcialmente</v>
      </c>
      <c r="I183" s="9">
        <f t="shared" si="42"/>
        <v>0.5</v>
      </c>
      <c r="J183" s="9">
        <f t="shared" si="40"/>
        <v>0.5</v>
      </c>
    </row>
    <row r="184" ht="72">
      <c r="A184" s="24" t="s">
        <v>32</v>
      </c>
      <c r="B184" s="25" t="s">
        <v>201</v>
      </c>
      <c r="C184" s="26" t="s">
        <v>217</v>
      </c>
      <c r="D184" s="25" t="s">
        <v>218</v>
      </c>
      <c r="E184" s="26" t="s">
        <v>220</v>
      </c>
      <c r="F184" s="27" t="s">
        <v>22</v>
      </c>
      <c r="G184" s="28">
        <f t="shared" si="41"/>
        <v>1</v>
      </c>
      <c r="H184" s="9" t="s">
        <v>24</v>
      </c>
      <c r="I184" s="9">
        <f t="shared" si="42"/>
        <v>1</v>
      </c>
      <c r="J184" s="9">
        <f t="shared" si="40"/>
        <v>1</v>
      </c>
    </row>
    <row r="185" ht="54">
      <c r="A185" s="24" t="s">
        <v>32</v>
      </c>
      <c r="B185" s="25" t="s">
        <v>201</v>
      </c>
      <c r="C185" s="26" t="s">
        <v>217</v>
      </c>
      <c r="D185" s="25" t="s">
        <v>218</v>
      </c>
      <c r="E185" s="26" t="s">
        <v>221</v>
      </c>
      <c r="F185" s="27" t="s">
        <v>22</v>
      </c>
      <c r="G185" s="28">
        <f t="shared" si="41"/>
        <v>1</v>
      </c>
      <c r="H185" s="9" t="s">
        <v>70</v>
      </c>
      <c r="I185" s="9">
        <f t="shared" si="42"/>
        <v>0.5</v>
      </c>
      <c r="J185" s="9">
        <f t="shared" si="40"/>
        <v>0.75</v>
      </c>
    </row>
    <row r="186" ht="72">
      <c r="A186" s="24" t="s">
        <v>36</v>
      </c>
      <c r="B186" s="25" t="s">
        <v>144</v>
      </c>
      <c r="C186" s="26" t="s">
        <v>145</v>
      </c>
      <c r="D186" s="25" t="s">
        <v>146</v>
      </c>
      <c r="E186" s="26" t="s">
        <v>147</v>
      </c>
      <c r="F186" s="27" t="s">
        <v>22</v>
      </c>
      <c r="G186" s="28">
        <f t="shared" si="41"/>
        <v>1</v>
      </c>
      <c r="H186" s="9" t="s">
        <v>24</v>
      </c>
      <c r="I186" s="9">
        <f t="shared" si="42"/>
        <v>1</v>
      </c>
      <c r="J186" s="9">
        <f t="shared" si="40"/>
        <v>1</v>
      </c>
    </row>
    <row r="187" ht="54">
      <c r="A187" s="24" t="s">
        <v>36</v>
      </c>
      <c r="B187" s="25" t="s">
        <v>144</v>
      </c>
      <c r="C187" s="26" t="s">
        <v>145</v>
      </c>
      <c r="D187" s="25" t="s">
        <v>146</v>
      </c>
      <c r="E187" s="26" t="s">
        <v>148</v>
      </c>
      <c r="F187" s="27" t="s">
        <v>22</v>
      </c>
      <c r="G187" s="28">
        <f t="shared" si="41"/>
        <v>1</v>
      </c>
      <c r="H187" s="9" t="s">
        <v>70</v>
      </c>
      <c r="I187" s="9">
        <f t="shared" si="42"/>
        <v>0.5</v>
      </c>
      <c r="J187" s="9">
        <f t="shared" si="40"/>
        <v>0.75</v>
      </c>
    </row>
    <row r="188" ht="72">
      <c r="A188" s="24" t="s">
        <v>36</v>
      </c>
      <c r="B188" s="25" t="s">
        <v>144</v>
      </c>
      <c r="C188" s="26" t="s">
        <v>145</v>
      </c>
      <c r="D188" s="25" t="s">
        <v>146</v>
      </c>
      <c r="E188" s="26" t="s">
        <v>149</v>
      </c>
      <c r="F188" s="27" t="s">
        <v>22</v>
      </c>
      <c r="G188" s="28">
        <f t="shared" si="41"/>
        <v>1</v>
      </c>
      <c r="H188" s="9" t="s">
        <v>24</v>
      </c>
      <c r="I188" s="9">
        <f t="shared" si="42"/>
        <v>1</v>
      </c>
      <c r="J188" s="9">
        <f t="shared" si="40"/>
        <v>1</v>
      </c>
    </row>
    <row r="189" ht="72">
      <c r="A189" s="24" t="s">
        <v>36</v>
      </c>
      <c r="B189" s="25" t="s">
        <v>144</v>
      </c>
      <c r="C189" s="26" t="s">
        <v>145</v>
      </c>
      <c r="D189" s="25" t="s">
        <v>146</v>
      </c>
      <c r="E189" s="26" t="s">
        <v>150</v>
      </c>
      <c r="F189" s="27" t="s">
        <v>22</v>
      </c>
      <c r="G189" s="28">
        <f t="shared" si="41"/>
        <v>1</v>
      </c>
      <c r="H189" s="9" t="s">
        <v>24</v>
      </c>
      <c r="I189" s="9">
        <f t="shared" si="42"/>
        <v>1</v>
      </c>
      <c r="J189" s="9">
        <f t="shared" si="40"/>
        <v>1</v>
      </c>
    </row>
    <row r="190" ht="54">
      <c r="A190" s="24" t="s">
        <v>36</v>
      </c>
      <c r="B190" s="25" t="s">
        <v>144</v>
      </c>
      <c r="C190" s="26" t="s">
        <v>151</v>
      </c>
      <c r="D190" s="25" t="s">
        <v>152</v>
      </c>
      <c r="E190" s="26" t="s">
        <v>153</v>
      </c>
      <c r="F190" s="27" t="s">
        <v>22</v>
      </c>
      <c r="G190" s="28">
        <f t="shared" si="41"/>
        <v>1</v>
      </c>
      <c r="H190" s="9" t="s">
        <v>24</v>
      </c>
      <c r="I190" s="9">
        <f t="shared" si="42"/>
        <v>1</v>
      </c>
      <c r="J190" s="9">
        <f t="shared" si="40"/>
        <v>1</v>
      </c>
    </row>
    <row r="191" ht="72">
      <c r="A191" s="24" t="s">
        <v>36</v>
      </c>
      <c r="B191" s="25" t="s">
        <v>144</v>
      </c>
      <c r="C191" s="26" t="s">
        <v>151</v>
      </c>
      <c r="D191" s="25" t="s">
        <v>152</v>
      </c>
      <c r="E191" s="26" t="s">
        <v>154</v>
      </c>
      <c r="F191" s="27" t="s">
        <v>22</v>
      </c>
      <c r="G191" s="28">
        <f t="shared" si="41"/>
        <v>1</v>
      </c>
      <c r="H191" s="9" t="s">
        <v>24</v>
      </c>
      <c r="I191" s="9">
        <f t="shared" si="42"/>
        <v>1</v>
      </c>
      <c r="J191" s="9">
        <f t="shared" si="40"/>
        <v>1</v>
      </c>
    </row>
    <row r="192" ht="72">
      <c r="A192" s="24" t="s">
        <v>36</v>
      </c>
      <c r="B192" s="25" t="s">
        <v>144</v>
      </c>
      <c r="C192" s="26" t="s">
        <v>151</v>
      </c>
      <c r="D192" s="25" t="s">
        <v>152</v>
      </c>
      <c r="E192" s="26" t="s">
        <v>155</v>
      </c>
      <c r="F192" s="27" t="s">
        <v>22</v>
      </c>
      <c r="G192" s="28">
        <f t="shared" si="41"/>
        <v>1</v>
      </c>
      <c r="H192" s="9" t="s">
        <v>24</v>
      </c>
      <c r="I192" s="9">
        <f t="shared" si="42"/>
        <v>1</v>
      </c>
      <c r="J192" s="9">
        <f t="shared" si="40"/>
        <v>1</v>
      </c>
    </row>
    <row r="193" ht="54">
      <c r="A193" s="24" t="s">
        <v>36</v>
      </c>
      <c r="B193" s="25" t="s">
        <v>144</v>
      </c>
      <c r="C193" s="26" t="s">
        <v>151</v>
      </c>
      <c r="D193" s="25" t="s">
        <v>152</v>
      </c>
      <c r="E193" s="26" t="s">
        <v>156</v>
      </c>
      <c r="F193" s="27" t="s">
        <v>22</v>
      </c>
      <c r="G193" s="28">
        <f t="shared" si="41"/>
        <v>1</v>
      </c>
      <c r="H193" s="9" t="s">
        <v>24</v>
      </c>
      <c r="I193" s="9">
        <f t="shared" si="42"/>
        <v>1</v>
      </c>
      <c r="J193" s="9">
        <f t="shared" si="40"/>
        <v>1</v>
      </c>
    </row>
    <row r="194" ht="72">
      <c r="A194" s="24" t="s">
        <v>36</v>
      </c>
      <c r="B194" s="25" t="s">
        <v>144</v>
      </c>
      <c r="C194" s="26" t="s">
        <v>157</v>
      </c>
      <c r="D194" s="25" t="s">
        <v>158</v>
      </c>
      <c r="E194" s="26" t="s">
        <v>159</v>
      </c>
      <c r="F194" s="27" t="s">
        <v>53</v>
      </c>
      <c r="G194" s="28">
        <f t="shared" si="41"/>
        <v>0</v>
      </c>
      <c r="H194" s="9" t="str">
        <f t="shared" si="43"/>
        <v xml:space="preserve">No Cumple</v>
      </c>
      <c r="I194" s="9">
        <f t="shared" si="42"/>
        <v>0</v>
      </c>
      <c r="J194" s="9">
        <f t="shared" ref="J194:J257" si="44">AVERAGE(G194,I194)</f>
        <v>0</v>
      </c>
    </row>
    <row r="195" ht="72">
      <c r="A195" s="24" t="s">
        <v>36</v>
      </c>
      <c r="B195" s="25" t="s">
        <v>144</v>
      </c>
      <c r="C195" s="26" t="s">
        <v>157</v>
      </c>
      <c r="D195" s="25" t="s">
        <v>158</v>
      </c>
      <c r="E195" s="26" t="s">
        <v>160</v>
      </c>
      <c r="F195" s="27" t="s">
        <v>53</v>
      </c>
      <c r="G195" s="28">
        <f t="shared" ref="G195:G258" si="45">IF(F195="Cumple",1,IF(F195="Cumple Parcialmente",0.5,IF(F195="No Cumple",0,"")))</f>
        <v>0</v>
      </c>
      <c r="H195" s="9" t="str">
        <f t="shared" si="43"/>
        <v xml:space="preserve">No Cumple</v>
      </c>
      <c r="I195" s="9">
        <f t="shared" ref="I195:I258" si="46">IF(H195="Cumple",1,IF(H195="Cumple Parcialmente",0.5,IF(H195="No Cumple",0,"")))</f>
        <v>0</v>
      </c>
      <c r="J195" s="9">
        <f t="shared" si="44"/>
        <v>0</v>
      </c>
    </row>
    <row r="196" ht="72">
      <c r="A196" s="24" t="s">
        <v>36</v>
      </c>
      <c r="B196" s="25" t="s">
        <v>144</v>
      </c>
      <c r="C196" s="26" t="s">
        <v>157</v>
      </c>
      <c r="D196" s="25" t="s">
        <v>158</v>
      </c>
      <c r="E196" s="26" t="s">
        <v>161</v>
      </c>
      <c r="F196" s="27" t="s">
        <v>53</v>
      </c>
      <c r="G196" s="28">
        <f t="shared" si="45"/>
        <v>0</v>
      </c>
      <c r="H196" s="9" t="str">
        <f t="shared" ref="H196:H259" si="47">IF(OR(F196="No Cumple",F196="Cumple Parcialmente"),F196,"")</f>
        <v xml:space="preserve">No Cumple</v>
      </c>
      <c r="I196" s="9">
        <f t="shared" si="46"/>
        <v>0</v>
      </c>
      <c r="J196" s="9">
        <f t="shared" si="44"/>
        <v>0</v>
      </c>
    </row>
    <row r="197" ht="72">
      <c r="A197" s="24" t="s">
        <v>36</v>
      </c>
      <c r="B197" s="25" t="s">
        <v>144</v>
      </c>
      <c r="C197" s="26" t="s">
        <v>157</v>
      </c>
      <c r="D197" s="25" t="s">
        <v>158</v>
      </c>
      <c r="E197" s="26" t="s">
        <v>162</v>
      </c>
      <c r="F197" s="27" t="s">
        <v>53</v>
      </c>
      <c r="G197" s="28">
        <f t="shared" si="45"/>
        <v>0</v>
      </c>
      <c r="H197" s="9" t="str">
        <f t="shared" si="47"/>
        <v xml:space="preserve">No Cumple</v>
      </c>
      <c r="I197" s="9">
        <f t="shared" si="46"/>
        <v>0</v>
      </c>
      <c r="J197" s="9">
        <f t="shared" si="44"/>
        <v>0</v>
      </c>
    </row>
    <row r="198" ht="72">
      <c r="A198" s="24" t="s">
        <v>36</v>
      </c>
      <c r="B198" s="25" t="s">
        <v>144</v>
      </c>
      <c r="C198" s="26" t="s">
        <v>163</v>
      </c>
      <c r="D198" s="25" t="s">
        <v>163</v>
      </c>
      <c r="E198" s="26" t="s">
        <v>164</v>
      </c>
      <c r="F198" s="27" t="s">
        <v>22</v>
      </c>
      <c r="G198" s="28">
        <f t="shared" si="45"/>
        <v>1</v>
      </c>
      <c r="H198" s="9" t="s">
        <v>24</v>
      </c>
      <c r="I198" s="9">
        <f t="shared" si="46"/>
        <v>1</v>
      </c>
      <c r="J198" s="9">
        <f t="shared" si="44"/>
        <v>1</v>
      </c>
    </row>
    <row r="199" ht="72">
      <c r="A199" s="24" t="s">
        <v>36</v>
      </c>
      <c r="B199" s="25" t="s">
        <v>144</v>
      </c>
      <c r="C199" s="26" t="s">
        <v>163</v>
      </c>
      <c r="D199" s="25" t="s">
        <v>163</v>
      </c>
      <c r="E199" s="26" t="s">
        <v>165</v>
      </c>
      <c r="F199" s="27" t="s">
        <v>22</v>
      </c>
      <c r="G199" s="28">
        <f t="shared" si="45"/>
        <v>1</v>
      </c>
      <c r="H199" s="9" t="s">
        <v>24</v>
      </c>
      <c r="I199" s="9">
        <f t="shared" si="46"/>
        <v>1</v>
      </c>
      <c r="J199" s="9">
        <f t="shared" si="44"/>
        <v>1</v>
      </c>
    </row>
    <row r="200" ht="72">
      <c r="A200" s="24" t="s">
        <v>36</v>
      </c>
      <c r="B200" s="25" t="s">
        <v>144</v>
      </c>
      <c r="C200" s="26" t="s">
        <v>163</v>
      </c>
      <c r="D200" s="25" t="s">
        <v>163</v>
      </c>
      <c r="E200" s="26" t="s">
        <v>166</v>
      </c>
      <c r="F200" s="27" t="s">
        <v>22</v>
      </c>
      <c r="G200" s="28">
        <f t="shared" si="45"/>
        <v>1</v>
      </c>
      <c r="H200" s="9" t="s">
        <v>24</v>
      </c>
      <c r="I200" s="9">
        <f t="shared" si="46"/>
        <v>1</v>
      </c>
      <c r="J200" s="9">
        <f t="shared" si="44"/>
        <v>1</v>
      </c>
    </row>
    <row r="201" ht="54">
      <c r="A201" s="24" t="s">
        <v>36</v>
      </c>
      <c r="B201" s="25" t="s">
        <v>144</v>
      </c>
      <c r="C201" s="26" t="s">
        <v>163</v>
      </c>
      <c r="D201" s="25" t="s">
        <v>163</v>
      </c>
      <c r="E201" s="26" t="s">
        <v>167</v>
      </c>
      <c r="F201" s="27" t="s">
        <v>22</v>
      </c>
      <c r="G201" s="28">
        <f t="shared" si="45"/>
        <v>1</v>
      </c>
      <c r="H201" s="9" t="s">
        <v>24</v>
      </c>
      <c r="I201" s="9">
        <f t="shared" si="46"/>
        <v>1</v>
      </c>
      <c r="J201" s="9">
        <f t="shared" si="44"/>
        <v>1</v>
      </c>
    </row>
    <row r="202" ht="90">
      <c r="A202" s="24" t="s">
        <v>36</v>
      </c>
      <c r="B202" s="25" t="s">
        <v>168</v>
      </c>
      <c r="C202" s="26" t="s">
        <v>169</v>
      </c>
      <c r="D202" s="25" t="s">
        <v>170</v>
      </c>
      <c r="E202" s="26" t="s">
        <v>171</v>
      </c>
      <c r="F202" s="27" t="s">
        <v>22</v>
      </c>
      <c r="G202" s="28">
        <f t="shared" si="45"/>
        <v>1</v>
      </c>
      <c r="H202" s="9" t="s">
        <v>70</v>
      </c>
      <c r="I202" s="9">
        <f t="shared" si="46"/>
        <v>0.5</v>
      </c>
      <c r="J202" s="9">
        <f t="shared" si="44"/>
        <v>0.75</v>
      </c>
    </row>
    <row r="203" ht="72">
      <c r="A203" s="24" t="s">
        <v>36</v>
      </c>
      <c r="B203" s="25" t="s">
        <v>168</v>
      </c>
      <c r="C203" s="26" t="s">
        <v>169</v>
      </c>
      <c r="D203" s="25" t="s">
        <v>170</v>
      </c>
      <c r="E203" s="26" t="s">
        <v>172</v>
      </c>
      <c r="F203" s="27" t="s">
        <v>22</v>
      </c>
      <c r="G203" s="28">
        <f t="shared" si="45"/>
        <v>1</v>
      </c>
      <c r="H203" s="9" t="s">
        <v>24</v>
      </c>
      <c r="I203" s="9">
        <f t="shared" si="46"/>
        <v>1</v>
      </c>
      <c r="J203" s="9">
        <f t="shared" si="44"/>
        <v>1</v>
      </c>
    </row>
    <row r="204" ht="54">
      <c r="A204" s="24" t="s">
        <v>36</v>
      </c>
      <c r="B204" s="25" t="s">
        <v>168</v>
      </c>
      <c r="C204" s="26" t="s">
        <v>169</v>
      </c>
      <c r="D204" s="25" t="s">
        <v>170</v>
      </c>
      <c r="E204" s="26" t="s">
        <v>173</v>
      </c>
      <c r="F204" s="27" t="s">
        <v>70</v>
      </c>
      <c r="G204" s="28">
        <f t="shared" si="45"/>
        <v>0.5</v>
      </c>
      <c r="H204" s="9" t="str">
        <f t="shared" si="47"/>
        <v xml:space="preserve">Cumple Parcialmente</v>
      </c>
      <c r="I204" s="9">
        <f t="shared" si="46"/>
        <v>0.5</v>
      </c>
      <c r="J204" s="9">
        <f t="shared" si="44"/>
        <v>0.5</v>
      </c>
    </row>
    <row r="205" ht="72">
      <c r="A205" s="24" t="s">
        <v>36</v>
      </c>
      <c r="B205" s="25" t="s">
        <v>168</v>
      </c>
      <c r="C205" s="26" t="s">
        <v>174</v>
      </c>
      <c r="D205" s="25" t="s">
        <v>175</v>
      </c>
      <c r="E205" s="26" t="s">
        <v>176</v>
      </c>
      <c r="F205" s="27" t="s">
        <v>53</v>
      </c>
      <c r="G205" s="28">
        <f t="shared" si="45"/>
        <v>0</v>
      </c>
      <c r="H205" s="9" t="str">
        <f t="shared" si="47"/>
        <v xml:space="preserve">No Cumple</v>
      </c>
      <c r="I205" s="9">
        <f t="shared" si="46"/>
        <v>0</v>
      </c>
      <c r="J205" s="9">
        <f t="shared" si="44"/>
        <v>0</v>
      </c>
    </row>
    <row r="206" ht="90">
      <c r="A206" s="24" t="s">
        <v>36</v>
      </c>
      <c r="B206" s="25" t="s">
        <v>168</v>
      </c>
      <c r="C206" s="26" t="s">
        <v>174</v>
      </c>
      <c r="D206" s="25" t="s">
        <v>175</v>
      </c>
      <c r="E206" s="26" t="s">
        <v>177</v>
      </c>
      <c r="F206" s="27" t="s">
        <v>53</v>
      </c>
      <c r="G206" s="28">
        <f t="shared" si="45"/>
        <v>0</v>
      </c>
      <c r="H206" s="9" t="str">
        <f t="shared" si="47"/>
        <v xml:space="preserve">No Cumple</v>
      </c>
      <c r="I206" s="9">
        <f t="shared" si="46"/>
        <v>0</v>
      </c>
      <c r="J206" s="9">
        <f t="shared" si="44"/>
        <v>0</v>
      </c>
    </row>
    <row r="207" ht="72">
      <c r="A207" s="24" t="s">
        <v>36</v>
      </c>
      <c r="B207" s="25" t="s">
        <v>168</v>
      </c>
      <c r="C207" s="26" t="s">
        <v>174</v>
      </c>
      <c r="D207" s="25" t="s">
        <v>175</v>
      </c>
      <c r="E207" s="26" t="s">
        <v>178</v>
      </c>
      <c r="F207" s="27" t="s">
        <v>22</v>
      </c>
      <c r="G207" s="28">
        <f t="shared" si="45"/>
        <v>1</v>
      </c>
      <c r="H207" s="9" t="s">
        <v>24</v>
      </c>
      <c r="I207" s="9">
        <f t="shared" si="46"/>
        <v>1</v>
      </c>
      <c r="J207" s="9">
        <f t="shared" si="44"/>
        <v>1</v>
      </c>
    </row>
    <row r="208" ht="72">
      <c r="A208" s="24" t="s">
        <v>36</v>
      </c>
      <c r="B208" s="25" t="s">
        <v>168</v>
      </c>
      <c r="C208" s="26" t="s">
        <v>179</v>
      </c>
      <c r="D208" s="25" t="s">
        <v>180</v>
      </c>
      <c r="E208" s="26" t="s">
        <v>181</v>
      </c>
      <c r="F208" s="27" t="s">
        <v>22</v>
      </c>
      <c r="G208" s="28">
        <f t="shared" si="45"/>
        <v>1</v>
      </c>
      <c r="H208" s="9" t="s">
        <v>24</v>
      </c>
      <c r="I208" s="9">
        <f t="shared" si="46"/>
        <v>1</v>
      </c>
      <c r="J208" s="9">
        <f t="shared" si="44"/>
        <v>1</v>
      </c>
    </row>
    <row r="209" ht="90">
      <c r="A209" s="24" t="s">
        <v>36</v>
      </c>
      <c r="B209" s="25" t="s">
        <v>168</v>
      </c>
      <c r="C209" s="26" t="s">
        <v>179</v>
      </c>
      <c r="D209" s="25" t="s">
        <v>182</v>
      </c>
      <c r="E209" s="26" t="s">
        <v>183</v>
      </c>
      <c r="F209" s="27" t="s">
        <v>22</v>
      </c>
      <c r="G209" s="28">
        <f t="shared" si="45"/>
        <v>1</v>
      </c>
      <c r="H209" s="9" t="s">
        <v>70</v>
      </c>
      <c r="I209" s="9">
        <f t="shared" si="46"/>
        <v>0.5</v>
      </c>
      <c r="J209" s="9">
        <f t="shared" si="44"/>
        <v>0.75</v>
      </c>
    </row>
    <row r="210" ht="72">
      <c r="A210" s="24" t="s">
        <v>36</v>
      </c>
      <c r="B210" s="25" t="s">
        <v>168</v>
      </c>
      <c r="C210" s="26" t="s">
        <v>179</v>
      </c>
      <c r="D210" s="25" t="s">
        <v>182</v>
      </c>
      <c r="E210" s="26" t="s">
        <v>184</v>
      </c>
      <c r="F210" s="27" t="s">
        <v>22</v>
      </c>
      <c r="G210" s="28">
        <f t="shared" si="45"/>
        <v>1</v>
      </c>
      <c r="H210" s="9" t="s">
        <v>24</v>
      </c>
      <c r="I210" s="9">
        <f t="shared" si="46"/>
        <v>1</v>
      </c>
      <c r="J210" s="9">
        <f t="shared" si="44"/>
        <v>1</v>
      </c>
    </row>
    <row r="211" ht="72">
      <c r="A211" s="24" t="s">
        <v>36</v>
      </c>
      <c r="B211" s="25" t="s">
        <v>168</v>
      </c>
      <c r="C211" s="26" t="s">
        <v>185</v>
      </c>
      <c r="D211" s="25" t="s">
        <v>186</v>
      </c>
      <c r="E211" s="26" t="s">
        <v>187</v>
      </c>
      <c r="F211" s="27" t="s">
        <v>53</v>
      </c>
      <c r="G211" s="28">
        <f t="shared" si="45"/>
        <v>0</v>
      </c>
      <c r="H211" s="9" t="str">
        <f t="shared" si="47"/>
        <v xml:space="preserve">No Cumple</v>
      </c>
      <c r="I211" s="9">
        <f t="shared" si="46"/>
        <v>0</v>
      </c>
      <c r="J211" s="9">
        <f t="shared" si="44"/>
        <v>0</v>
      </c>
    </row>
    <row r="212" ht="72">
      <c r="A212" s="24" t="s">
        <v>36</v>
      </c>
      <c r="B212" s="25" t="s">
        <v>168</v>
      </c>
      <c r="C212" s="26" t="s">
        <v>185</v>
      </c>
      <c r="D212" s="25" t="s">
        <v>186</v>
      </c>
      <c r="E212" s="26" t="s">
        <v>188</v>
      </c>
      <c r="F212" s="27" t="s">
        <v>53</v>
      </c>
      <c r="G212" s="28">
        <f t="shared" si="45"/>
        <v>0</v>
      </c>
      <c r="H212" s="9" t="str">
        <f t="shared" si="47"/>
        <v xml:space="preserve">No Cumple</v>
      </c>
      <c r="I212" s="9">
        <f t="shared" si="46"/>
        <v>0</v>
      </c>
      <c r="J212" s="9">
        <f t="shared" si="44"/>
        <v>0</v>
      </c>
    </row>
    <row r="213" ht="72">
      <c r="A213" s="24" t="s">
        <v>36</v>
      </c>
      <c r="B213" s="25" t="s">
        <v>168</v>
      </c>
      <c r="C213" s="26" t="s">
        <v>185</v>
      </c>
      <c r="D213" s="25" t="s">
        <v>186</v>
      </c>
      <c r="E213" s="26" t="s">
        <v>189</v>
      </c>
      <c r="F213" s="27" t="s">
        <v>53</v>
      </c>
      <c r="G213" s="28">
        <f t="shared" si="45"/>
        <v>0</v>
      </c>
      <c r="H213" s="9" t="str">
        <f t="shared" si="47"/>
        <v xml:space="preserve">No Cumple</v>
      </c>
      <c r="I213" s="9">
        <f t="shared" si="46"/>
        <v>0</v>
      </c>
      <c r="J213" s="9">
        <f t="shared" si="44"/>
        <v>0</v>
      </c>
    </row>
    <row r="214" ht="54">
      <c r="A214" s="24" t="s">
        <v>36</v>
      </c>
      <c r="B214" s="25" t="s">
        <v>168</v>
      </c>
      <c r="C214" s="26" t="s">
        <v>190</v>
      </c>
      <c r="D214" s="25" t="s">
        <v>191</v>
      </c>
      <c r="E214" s="26" t="s">
        <v>192</v>
      </c>
      <c r="F214" s="27" t="s">
        <v>53</v>
      </c>
      <c r="G214" s="28">
        <f t="shared" si="45"/>
        <v>0</v>
      </c>
      <c r="H214" s="9" t="str">
        <f t="shared" si="47"/>
        <v xml:space="preserve">No Cumple</v>
      </c>
      <c r="I214" s="9">
        <f t="shared" si="46"/>
        <v>0</v>
      </c>
      <c r="J214" s="9">
        <f t="shared" si="44"/>
        <v>0</v>
      </c>
    </row>
    <row r="215" ht="54">
      <c r="A215" s="24" t="s">
        <v>36</v>
      </c>
      <c r="B215" s="25" t="s">
        <v>168</v>
      </c>
      <c r="C215" s="26" t="s">
        <v>190</v>
      </c>
      <c r="D215" s="25" t="s">
        <v>193</v>
      </c>
      <c r="E215" s="26" t="s">
        <v>194</v>
      </c>
      <c r="F215" s="27" t="s">
        <v>53</v>
      </c>
      <c r="G215" s="28">
        <f t="shared" si="45"/>
        <v>0</v>
      </c>
      <c r="H215" s="9" t="str">
        <f t="shared" si="47"/>
        <v xml:space="preserve">No Cumple</v>
      </c>
      <c r="I215" s="9">
        <f t="shared" si="46"/>
        <v>0</v>
      </c>
      <c r="J215" s="9">
        <f t="shared" si="44"/>
        <v>0</v>
      </c>
    </row>
    <row r="216" ht="54">
      <c r="A216" s="24" t="s">
        <v>36</v>
      </c>
      <c r="B216" s="25" t="s">
        <v>168</v>
      </c>
      <c r="C216" s="26" t="s">
        <v>190</v>
      </c>
      <c r="D216" s="25" t="s">
        <v>193</v>
      </c>
      <c r="E216" s="26" t="s">
        <v>195</v>
      </c>
      <c r="F216" s="27" t="s">
        <v>53</v>
      </c>
      <c r="G216" s="28">
        <f t="shared" si="45"/>
        <v>0</v>
      </c>
      <c r="H216" s="9" t="str">
        <f t="shared" si="47"/>
        <v xml:space="preserve">No Cumple</v>
      </c>
      <c r="I216" s="9">
        <f t="shared" si="46"/>
        <v>0</v>
      </c>
      <c r="J216" s="9">
        <f t="shared" si="44"/>
        <v>0</v>
      </c>
    </row>
    <row r="217" ht="54">
      <c r="A217" s="24" t="s">
        <v>36</v>
      </c>
      <c r="B217" s="25" t="s">
        <v>168</v>
      </c>
      <c r="C217" s="26" t="s">
        <v>196</v>
      </c>
      <c r="D217" s="25" t="s">
        <v>197</v>
      </c>
      <c r="E217" s="26" t="s">
        <v>198</v>
      </c>
      <c r="F217" s="27" t="s">
        <v>53</v>
      </c>
      <c r="G217" s="28">
        <f t="shared" si="45"/>
        <v>0</v>
      </c>
      <c r="H217" s="9" t="str">
        <f t="shared" si="47"/>
        <v xml:space="preserve">No Cumple</v>
      </c>
      <c r="I217" s="9">
        <f t="shared" si="46"/>
        <v>0</v>
      </c>
      <c r="J217" s="9">
        <f t="shared" si="44"/>
        <v>0</v>
      </c>
    </row>
    <row r="218" ht="72">
      <c r="A218" s="24" t="s">
        <v>36</v>
      </c>
      <c r="B218" s="25" t="s">
        <v>168</v>
      </c>
      <c r="C218" s="26" t="s">
        <v>196</v>
      </c>
      <c r="D218" s="25" t="s">
        <v>197</v>
      </c>
      <c r="E218" s="26" t="s">
        <v>199</v>
      </c>
      <c r="F218" s="27" t="s">
        <v>53</v>
      </c>
      <c r="G218" s="28">
        <f t="shared" si="45"/>
        <v>0</v>
      </c>
      <c r="H218" s="9" t="str">
        <f t="shared" si="47"/>
        <v xml:space="preserve">No Cumple</v>
      </c>
      <c r="I218" s="9">
        <f t="shared" si="46"/>
        <v>0</v>
      </c>
      <c r="J218" s="9">
        <f t="shared" si="44"/>
        <v>0</v>
      </c>
    </row>
    <row r="219" ht="72">
      <c r="A219" s="24" t="s">
        <v>36</v>
      </c>
      <c r="B219" s="25" t="s">
        <v>168</v>
      </c>
      <c r="C219" s="26" t="s">
        <v>196</v>
      </c>
      <c r="D219" s="25" t="s">
        <v>197</v>
      </c>
      <c r="E219" s="26" t="s">
        <v>200</v>
      </c>
      <c r="F219" s="27" t="s">
        <v>53</v>
      </c>
      <c r="G219" s="28">
        <f t="shared" si="45"/>
        <v>0</v>
      </c>
      <c r="H219" s="9" t="str">
        <f t="shared" si="47"/>
        <v xml:space="preserve">No Cumple</v>
      </c>
      <c r="I219" s="9">
        <f t="shared" si="46"/>
        <v>0</v>
      </c>
      <c r="J219" s="9">
        <f t="shared" si="44"/>
        <v>0</v>
      </c>
    </row>
    <row r="220" ht="54">
      <c r="A220" s="24" t="s">
        <v>36</v>
      </c>
      <c r="B220" s="25" t="s">
        <v>201</v>
      </c>
      <c r="C220" s="26" t="s">
        <v>202</v>
      </c>
      <c r="D220" s="25" t="s">
        <v>203</v>
      </c>
      <c r="E220" s="26" t="s">
        <v>204</v>
      </c>
      <c r="F220" s="27" t="s">
        <v>22</v>
      </c>
      <c r="G220" s="28">
        <f t="shared" si="45"/>
        <v>1</v>
      </c>
      <c r="H220" s="9" t="s">
        <v>24</v>
      </c>
      <c r="I220" s="9">
        <f t="shared" si="46"/>
        <v>1</v>
      </c>
      <c r="J220" s="9">
        <f t="shared" si="44"/>
        <v>1</v>
      </c>
    </row>
    <row r="221" ht="54">
      <c r="A221" s="24" t="s">
        <v>36</v>
      </c>
      <c r="B221" s="25" t="s">
        <v>201</v>
      </c>
      <c r="C221" s="26" t="s">
        <v>202</v>
      </c>
      <c r="D221" s="25" t="s">
        <v>203</v>
      </c>
      <c r="E221" s="26" t="s">
        <v>205</v>
      </c>
      <c r="F221" s="27" t="s">
        <v>22</v>
      </c>
      <c r="G221" s="28">
        <f t="shared" si="45"/>
        <v>1</v>
      </c>
      <c r="H221" s="9" t="s">
        <v>24</v>
      </c>
      <c r="I221" s="9">
        <f t="shared" si="46"/>
        <v>1</v>
      </c>
      <c r="J221" s="9">
        <f t="shared" si="44"/>
        <v>1</v>
      </c>
    </row>
    <row r="222" ht="72">
      <c r="A222" s="24" t="s">
        <v>36</v>
      </c>
      <c r="B222" s="25" t="s">
        <v>201</v>
      </c>
      <c r="C222" s="26" t="s">
        <v>202</v>
      </c>
      <c r="D222" s="25" t="s">
        <v>203</v>
      </c>
      <c r="E222" s="26" t="s">
        <v>206</v>
      </c>
      <c r="F222" s="27" t="s">
        <v>22</v>
      </c>
      <c r="G222" s="28">
        <f t="shared" si="45"/>
        <v>1</v>
      </c>
      <c r="H222" s="9" t="s">
        <v>24</v>
      </c>
      <c r="I222" s="9">
        <f t="shared" si="46"/>
        <v>1</v>
      </c>
      <c r="J222" s="9">
        <f t="shared" si="44"/>
        <v>1</v>
      </c>
    </row>
    <row r="223" ht="72">
      <c r="A223" s="24" t="s">
        <v>36</v>
      </c>
      <c r="B223" s="25" t="s">
        <v>201</v>
      </c>
      <c r="C223" s="26" t="s">
        <v>207</v>
      </c>
      <c r="D223" s="25" t="s">
        <v>208</v>
      </c>
      <c r="E223" s="26" t="s">
        <v>209</v>
      </c>
      <c r="F223" s="27" t="s">
        <v>53</v>
      </c>
      <c r="G223" s="28">
        <f t="shared" si="45"/>
        <v>0</v>
      </c>
      <c r="H223" s="9" t="str">
        <f t="shared" si="47"/>
        <v xml:space="preserve">No Cumple</v>
      </c>
      <c r="I223" s="9">
        <f t="shared" si="46"/>
        <v>0</v>
      </c>
      <c r="J223" s="9">
        <f t="shared" si="44"/>
        <v>0</v>
      </c>
    </row>
    <row r="224" ht="108">
      <c r="A224" s="24" t="s">
        <v>36</v>
      </c>
      <c r="B224" s="25" t="s">
        <v>201</v>
      </c>
      <c r="C224" s="26" t="s">
        <v>207</v>
      </c>
      <c r="D224" s="25" t="s">
        <v>208</v>
      </c>
      <c r="E224" s="26" t="s">
        <v>210</v>
      </c>
      <c r="F224" s="27" t="s">
        <v>22</v>
      </c>
      <c r="G224" s="28">
        <f t="shared" si="45"/>
        <v>1</v>
      </c>
      <c r="H224" s="9" t="s">
        <v>24</v>
      </c>
      <c r="I224" s="9">
        <f t="shared" si="46"/>
        <v>1</v>
      </c>
      <c r="J224" s="9">
        <f t="shared" si="44"/>
        <v>1</v>
      </c>
    </row>
    <row r="225" ht="90">
      <c r="A225" s="24" t="s">
        <v>36</v>
      </c>
      <c r="B225" s="25" t="s">
        <v>201</v>
      </c>
      <c r="C225" s="26" t="s">
        <v>207</v>
      </c>
      <c r="D225" s="25" t="s">
        <v>208</v>
      </c>
      <c r="E225" s="26" t="s">
        <v>211</v>
      </c>
      <c r="F225" s="27" t="s">
        <v>53</v>
      </c>
      <c r="G225" s="28">
        <f t="shared" si="45"/>
        <v>0</v>
      </c>
      <c r="H225" s="9" t="str">
        <f t="shared" si="47"/>
        <v xml:space="preserve">No Cumple</v>
      </c>
      <c r="I225" s="9">
        <f t="shared" si="46"/>
        <v>0</v>
      </c>
      <c r="J225" s="9">
        <f t="shared" si="44"/>
        <v>0</v>
      </c>
    </row>
    <row r="226" ht="90">
      <c r="A226" s="24" t="s">
        <v>36</v>
      </c>
      <c r="B226" s="25" t="s">
        <v>201</v>
      </c>
      <c r="C226" s="26" t="s">
        <v>212</v>
      </c>
      <c r="D226" s="25" t="s">
        <v>213</v>
      </c>
      <c r="E226" s="26" t="s">
        <v>214</v>
      </c>
      <c r="F226" s="27" t="s">
        <v>22</v>
      </c>
      <c r="G226" s="28">
        <f t="shared" si="45"/>
        <v>1</v>
      </c>
      <c r="H226" s="9" t="s">
        <v>24</v>
      </c>
      <c r="I226" s="9">
        <f t="shared" si="46"/>
        <v>1</v>
      </c>
      <c r="J226" s="9">
        <f t="shared" si="44"/>
        <v>1</v>
      </c>
    </row>
    <row r="227" ht="90">
      <c r="A227" s="24" t="s">
        <v>36</v>
      </c>
      <c r="B227" s="25" t="s">
        <v>201</v>
      </c>
      <c r="C227" s="26" t="s">
        <v>212</v>
      </c>
      <c r="D227" s="25" t="s">
        <v>213</v>
      </c>
      <c r="E227" s="26" t="s">
        <v>215</v>
      </c>
      <c r="F227" s="27" t="s">
        <v>22</v>
      </c>
      <c r="G227" s="28">
        <f t="shared" si="45"/>
        <v>1</v>
      </c>
      <c r="H227" s="9" t="s">
        <v>24</v>
      </c>
      <c r="I227" s="9">
        <f t="shared" si="46"/>
        <v>1</v>
      </c>
      <c r="J227" s="9">
        <f t="shared" si="44"/>
        <v>1</v>
      </c>
    </row>
    <row r="228" ht="90">
      <c r="A228" s="24" t="s">
        <v>36</v>
      </c>
      <c r="B228" s="25" t="s">
        <v>201</v>
      </c>
      <c r="C228" s="26" t="s">
        <v>212</v>
      </c>
      <c r="D228" s="25" t="s">
        <v>213</v>
      </c>
      <c r="E228" s="26" t="s">
        <v>216</v>
      </c>
      <c r="F228" s="27" t="s">
        <v>53</v>
      </c>
      <c r="G228" s="28">
        <f t="shared" si="45"/>
        <v>0</v>
      </c>
      <c r="H228" s="9" t="str">
        <f t="shared" si="47"/>
        <v xml:space="preserve">No Cumple</v>
      </c>
      <c r="I228" s="9">
        <f t="shared" si="46"/>
        <v>0</v>
      </c>
      <c r="J228" s="9">
        <f t="shared" si="44"/>
        <v>0</v>
      </c>
    </row>
    <row r="229" ht="90">
      <c r="A229" s="24" t="s">
        <v>36</v>
      </c>
      <c r="B229" s="25" t="s">
        <v>201</v>
      </c>
      <c r="C229" s="26" t="s">
        <v>217</v>
      </c>
      <c r="D229" s="25" t="s">
        <v>218</v>
      </c>
      <c r="E229" s="26" t="s">
        <v>219</v>
      </c>
      <c r="F229" s="27" t="s">
        <v>22</v>
      </c>
      <c r="G229" s="28">
        <f t="shared" si="45"/>
        <v>1</v>
      </c>
      <c r="H229" s="9" t="s">
        <v>24</v>
      </c>
      <c r="I229" s="9">
        <f t="shared" si="46"/>
        <v>1</v>
      </c>
      <c r="J229" s="9">
        <f t="shared" si="44"/>
        <v>1</v>
      </c>
    </row>
    <row r="230" ht="72">
      <c r="A230" s="24" t="s">
        <v>36</v>
      </c>
      <c r="B230" s="25" t="s">
        <v>201</v>
      </c>
      <c r="C230" s="26" t="s">
        <v>217</v>
      </c>
      <c r="D230" s="25" t="s">
        <v>218</v>
      </c>
      <c r="E230" s="26" t="s">
        <v>220</v>
      </c>
      <c r="F230" s="27" t="s">
        <v>22</v>
      </c>
      <c r="G230" s="28">
        <f t="shared" si="45"/>
        <v>1</v>
      </c>
      <c r="H230" s="9" t="s">
        <v>24</v>
      </c>
      <c r="I230" s="9">
        <f t="shared" si="46"/>
        <v>1</v>
      </c>
      <c r="J230" s="9">
        <f t="shared" si="44"/>
        <v>1</v>
      </c>
    </row>
    <row r="231" ht="54">
      <c r="A231" s="24" t="s">
        <v>36</v>
      </c>
      <c r="B231" s="25" t="s">
        <v>201</v>
      </c>
      <c r="C231" s="26" t="s">
        <v>217</v>
      </c>
      <c r="D231" s="25" t="s">
        <v>218</v>
      </c>
      <c r="E231" s="26" t="s">
        <v>221</v>
      </c>
      <c r="F231" s="27" t="s">
        <v>53</v>
      </c>
      <c r="G231" s="28">
        <f t="shared" si="45"/>
        <v>0</v>
      </c>
      <c r="H231" s="9" t="str">
        <f t="shared" si="47"/>
        <v xml:space="preserve">No Cumple</v>
      </c>
      <c r="I231" s="9">
        <f t="shared" si="46"/>
        <v>0</v>
      </c>
      <c r="J231" s="9">
        <f t="shared" si="44"/>
        <v>0</v>
      </c>
    </row>
    <row r="232" ht="72">
      <c r="A232" s="24" t="s">
        <v>38</v>
      </c>
      <c r="B232" s="25" t="s">
        <v>144</v>
      </c>
      <c r="C232" s="26" t="s">
        <v>145</v>
      </c>
      <c r="D232" s="25" t="s">
        <v>146</v>
      </c>
      <c r="E232" s="26" t="s">
        <v>147</v>
      </c>
      <c r="F232" s="27" t="s">
        <v>22</v>
      </c>
      <c r="G232" s="28">
        <f t="shared" si="45"/>
        <v>1</v>
      </c>
      <c r="H232" s="9" t="s">
        <v>24</v>
      </c>
      <c r="I232" s="9">
        <f t="shared" si="46"/>
        <v>1</v>
      </c>
      <c r="J232" s="9">
        <f t="shared" si="44"/>
        <v>1</v>
      </c>
    </row>
    <row r="233" ht="54">
      <c r="A233" s="24" t="s">
        <v>38</v>
      </c>
      <c r="B233" s="25" t="s">
        <v>144</v>
      </c>
      <c r="C233" s="26" t="s">
        <v>145</v>
      </c>
      <c r="D233" s="25" t="s">
        <v>146</v>
      </c>
      <c r="E233" s="26" t="s">
        <v>148</v>
      </c>
      <c r="F233" s="27" t="s">
        <v>22</v>
      </c>
      <c r="G233" s="28">
        <f t="shared" si="45"/>
        <v>1</v>
      </c>
      <c r="H233" s="9" t="s">
        <v>70</v>
      </c>
      <c r="I233" s="9">
        <f t="shared" si="46"/>
        <v>0.5</v>
      </c>
      <c r="J233" s="9">
        <f t="shared" si="44"/>
        <v>0.75</v>
      </c>
    </row>
    <row r="234" ht="72">
      <c r="A234" s="24" t="s">
        <v>38</v>
      </c>
      <c r="B234" s="25" t="s">
        <v>144</v>
      </c>
      <c r="C234" s="26" t="s">
        <v>145</v>
      </c>
      <c r="D234" s="25" t="s">
        <v>146</v>
      </c>
      <c r="E234" s="26" t="s">
        <v>149</v>
      </c>
      <c r="F234" s="27" t="s">
        <v>53</v>
      </c>
      <c r="G234" s="28">
        <f t="shared" si="45"/>
        <v>0</v>
      </c>
      <c r="H234" s="9" t="str">
        <f t="shared" si="47"/>
        <v xml:space="preserve">No Cumple</v>
      </c>
      <c r="I234" s="9">
        <f t="shared" si="46"/>
        <v>0</v>
      </c>
      <c r="J234" s="9">
        <f t="shared" si="44"/>
        <v>0</v>
      </c>
    </row>
    <row r="235" ht="72">
      <c r="A235" s="24" t="s">
        <v>38</v>
      </c>
      <c r="B235" s="25" t="s">
        <v>144</v>
      </c>
      <c r="C235" s="26" t="s">
        <v>145</v>
      </c>
      <c r="D235" s="25" t="s">
        <v>146</v>
      </c>
      <c r="E235" s="26" t="s">
        <v>150</v>
      </c>
      <c r="F235" s="27" t="s">
        <v>22</v>
      </c>
      <c r="G235" s="28">
        <f t="shared" si="45"/>
        <v>1</v>
      </c>
      <c r="H235" s="9" t="s">
        <v>24</v>
      </c>
      <c r="I235" s="9">
        <f t="shared" si="46"/>
        <v>1</v>
      </c>
      <c r="J235" s="9">
        <f t="shared" si="44"/>
        <v>1</v>
      </c>
    </row>
    <row r="236" ht="54">
      <c r="A236" s="24" t="s">
        <v>38</v>
      </c>
      <c r="B236" s="25" t="s">
        <v>144</v>
      </c>
      <c r="C236" s="26" t="s">
        <v>151</v>
      </c>
      <c r="D236" s="25" t="s">
        <v>152</v>
      </c>
      <c r="E236" s="26" t="s">
        <v>153</v>
      </c>
      <c r="F236" s="27" t="s">
        <v>70</v>
      </c>
      <c r="G236" s="28">
        <f t="shared" si="45"/>
        <v>0.5</v>
      </c>
      <c r="H236" s="9" t="str">
        <f t="shared" si="47"/>
        <v xml:space="preserve">Cumple Parcialmente</v>
      </c>
      <c r="I236" s="9">
        <f t="shared" si="46"/>
        <v>0.5</v>
      </c>
      <c r="J236" s="9">
        <f t="shared" si="44"/>
        <v>0.5</v>
      </c>
    </row>
    <row r="237" ht="72">
      <c r="A237" s="24" t="s">
        <v>38</v>
      </c>
      <c r="B237" s="25" t="s">
        <v>144</v>
      </c>
      <c r="C237" s="26" t="s">
        <v>151</v>
      </c>
      <c r="D237" s="25" t="s">
        <v>152</v>
      </c>
      <c r="E237" s="26" t="s">
        <v>154</v>
      </c>
      <c r="F237" s="27" t="s">
        <v>22</v>
      </c>
      <c r="G237" s="28">
        <f t="shared" si="45"/>
        <v>1</v>
      </c>
      <c r="H237" s="9" t="s">
        <v>24</v>
      </c>
      <c r="I237" s="9">
        <f t="shared" si="46"/>
        <v>1</v>
      </c>
      <c r="J237" s="9">
        <f t="shared" si="44"/>
        <v>1</v>
      </c>
    </row>
    <row r="238" ht="72">
      <c r="A238" s="24" t="s">
        <v>38</v>
      </c>
      <c r="B238" s="25" t="s">
        <v>144</v>
      </c>
      <c r="C238" s="26" t="s">
        <v>151</v>
      </c>
      <c r="D238" s="25" t="s">
        <v>152</v>
      </c>
      <c r="E238" s="26" t="s">
        <v>155</v>
      </c>
      <c r="F238" s="27" t="s">
        <v>22</v>
      </c>
      <c r="G238" s="28">
        <f t="shared" si="45"/>
        <v>1</v>
      </c>
      <c r="H238" s="9" t="s">
        <v>24</v>
      </c>
      <c r="I238" s="9">
        <f t="shared" si="46"/>
        <v>1</v>
      </c>
      <c r="J238" s="9">
        <f t="shared" si="44"/>
        <v>1</v>
      </c>
    </row>
    <row r="239" ht="54">
      <c r="A239" s="24" t="s">
        <v>38</v>
      </c>
      <c r="B239" s="25" t="s">
        <v>144</v>
      </c>
      <c r="C239" s="26" t="s">
        <v>151</v>
      </c>
      <c r="D239" s="25" t="s">
        <v>152</v>
      </c>
      <c r="E239" s="26" t="s">
        <v>156</v>
      </c>
      <c r="F239" s="27" t="s">
        <v>22</v>
      </c>
      <c r="G239" s="28">
        <f t="shared" si="45"/>
        <v>1</v>
      </c>
      <c r="H239" s="9" t="s">
        <v>24</v>
      </c>
      <c r="I239" s="9">
        <f t="shared" si="46"/>
        <v>1</v>
      </c>
      <c r="J239" s="9">
        <f t="shared" si="44"/>
        <v>1</v>
      </c>
    </row>
    <row r="240" ht="72">
      <c r="A240" s="24" t="s">
        <v>38</v>
      </c>
      <c r="B240" s="25" t="s">
        <v>144</v>
      </c>
      <c r="C240" s="26" t="s">
        <v>157</v>
      </c>
      <c r="D240" s="25" t="s">
        <v>158</v>
      </c>
      <c r="E240" s="26" t="s">
        <v>159</v>
      </c>
      <c r="F240" s="27" t="s">
        <v>22</v>
      </c>
      <c r="G240" s="28">
        <f t="shared" si="45"/>
        <v>1</v>
      </c>
      <c r="H240" s="9" t="s">
        <v>24</v>
      </c>
      <c r="I240" s="9">
        <f t="shared" si="46"/>
        <v>1</v>
      </c>
      <c r="J240" s="9">
        <f t="shared" si="44"/>
        <v>1</v>
      </c>
    </row>
    <row r="241" ht="72">
      <c r="A241" s="24" t="s">
        <v>38</v>
      </c>
      <c r="B241" s="25" t="s">
        <v>144</v>
      </c>
      <c r="C241" s="26" t="s">
        <v>157</v>
      </c>
      <c r="D241" s="25" t="s">
        <v>158</v>
      </c>
      <c r="E241" s="26" t="s">
        <v>160</v>
      </c>
      <c r="F241" s="27" t="s">
        <v>22</v>
      </c>
      <c r="G241" s="28">
        <f t="shared" si="45"/>
        <v>1</v>
      </c>
      <c r="H241" s="9" t="s">
        <v>24</v>
      </c>
      <c r="I241" s="9">
        <f t="shared" si="46"/>
        <v>1</v>
      </c>
      <c r="J241" s="9">
        <f t="shared" si="44"/>
        <v>1</v>
      </c>
    </row>
    <row r="242" ht="72">
      <c r="A242" s="24" t="s">
        <v>38</v>
      </c>
      <c r="B242" s="25" t="s">
        <v>144</v>
      </c>
      <c r="C242" s="26" t="s">
        <v>157</v>
      </c>
      <c r="D242" s="25" t="s">
        <v>158</v>
      </c>
      <c r="E242" s="26" t="s">
        <v>161</v>
      </c>
      <c r="F242" s="27" t="s">
        <v>22</v>
      </c>
      <c r="G242" s="28">
        <f t="shared" si="45"/>
        <v>1</v>
      </c>
      <c r="H242" s="9" t="s">
        <v>24</v>
      </c>
      <c r="I242" s="9">
        <f t="shared" si="46"/>
        <v>1</v>
      </c>
      <c r="J242" s="9">
        <f t="shared" si="44"/>
        <v>1</v>
      </c>
    </row>
    <row r="243" ht="72">
      <c r="A243" s="24" t="s">
        <v>38</v>
      </c>
      <c r="B243" s="25" t="s">
        <v>144</v>
      </c>
      <c r="C243" s="26" t="s">
        <v>157</v>
      </c>
      <c r="D243" s="25" t="s">
        <v>158</v>
      </c>
      <c r="E243" s="26" t="s">
        <v>162</v>
      </c>
      <c r="F243" s="27" t="s">
        <v>22</v>
      </c>
      <c r="G243" s="28">
        <f t="shared" si="45"/>
        <v>1</v>
      </c>
      <c r="H243" s="9" t="s">
        <v>24</v>
      </c>
      <c r="I243" s="9">
        <f t="shared" si="46"/>
        <v>1</v>
      </c>
      <c r="J243" s="9">
        <f t="shared" si="44"/>
        <v>1</v>
      </c>
    </row>
    <row r="244" ht="72">
      <c r="A244" s="24" t="s">
        <v>38</v>
      </c>
      <c r="B244" s="25" t="s">
        <v>144</v>
      </c>
      <c r="C244" s="26" t="s">
        <v>163</v>
      </c>
      <c r="D244" s="25" t="s">
        <v>163</v>
      </c>
      <c r="E244" s="26" t="s">
        <v>164</v>
      </c>
      <c r="F244" s="27" t="s">
        <v>22</v>
      </c>
      <c r="G244" s="28">
        <f t="shared" si="45"/>
        <v>1</v>
      </c>
      <c r="H244" s="9" t="s">
        <v>24</v>
      </c>
      <c r="I244" s="9">
        <f t="shared" si="46"/>
        <v>1</v>
      </c>
      <c r="J244" s="9">
        <f t="shared" si="44"/>
        <v>1</v>
      </c>
    </row>
    <row r="245" ht="72">
      <c r="A245" s="24" t="s">
        <v>38</v>
      </c>
      <c r="B245" s="25" t="s">
        <v>144</v>
      </c>
      <c r="C245" s="26" t="s">
        <v>163</v>
      </c>
      <c r="D245" s="25" t="s">
        <v>163</v>
      </c>
      <c r="E245" s="26" t="s">
        <v>165</v>
      </c>
      <c r="F245" s="27" t="s">
        <v>22</v>
      </c>
      <c r="G245" s="28">
        <f t="shared" si="45"/>
        <v>1</v>
      </c>
      <c r="H245" s="9" t="s">
        <v>24</v>
      </c>
      <c r="I245" s="9">
        <f t="shared" si="46"/>
        <v>1</v>
      </c>
      <c r="J245" s="9">
        <f t="shared" si="44"/>
        <v>1</v>
      </c>
    </row>
    <row r="246" ht="72">
      <c r="A246" s="24" t="s">
        <v>38</v>
      </c>
      <c r="B246" s="25" t="s">
        <v>144</v>
      </c>
      <c r="C246" s="26" t="s">
        <v>163</v>
      </c>
      <c r="D246" s="25" t="s">
        <v>163</v>
      </c>
      <c r="E246" s="26" t="s">
        <v>166</v>
      </c>
      <c r="F246" s="27" t="s">
        <v>22</v>
      </c>
      <c r="G246" s="28">
        <f t="shared" si="45"/>
        <v>1</v>
      </c>
      <c r="H246" s="9" t="s">
        <v>24</v>
      </c>
      <c r="I246" s="9">
        <f t="shared" si="46"/>
        <v>1</v>
      </c>
      <c r="J246" s="9">
        <f t="shared" si="44"/>
        <v>1</v>
      </c>
    </row>
    <row r="247" ht="54">
      <c r="A247" s="24" t="s">
        <v>38</v>
      </c>
      <c r="B247" s="25" t="s">
        <v>144</v>
      </c>
      <c r="C247" s="26" t="s">
        <v>163</v>
      </c>
      <c r="D247" s="25" t="s">
        <v>163</v>
      </c>
      <c r="E247" s="26" t="s">
        <v>167</v>
      </c>
      <c r="F247" s="27" t="s">
        <v>22</v>
      </c>
      <c r="G247" s="28">
        <f t="shared" si="45"/>
        <v>1</v>
      </c>
      <c r="H247" s="9" t="s">
        <v>24</v>
      </c>
      <c r="I247" s="9">
        <f t="shared" si="46"/>
        <v>1</v>
      </c>
      <c r="J247" s="9">
        <f t="shared" si="44"/>
        <v>1</v>
      </c>
    </row>
    <row r="248" ht="90">
      <c r="A248" s="24" t="s">
        <v>38</v>
      </c>
      <c r="B248" s="25" t="s">
        <v>168</v>
      </c>
      <c r="C248" s="26" t="s">
        <v>169</v>
      </c>
      <c r="D248" s="25" t="s">
        <v>170</v>
      </c>
      <c r="E248" s="26" t="s">
        <v>171</v>
      </c>
      <c r="F248" s="27" t="s">
        <v>22</v>
      </c>
      <c r="G248" s="28">
        <f t="shared" si="45"/>
        <v>1</v>
      </c>
      <c r="H248" s="9" t="s">
        <v>70</v>
      </c>
      <c r="I248" s="9">
        <f t="shared" si="46"/>
        <v>0.5</v>
      </c>
      <c r="J248" s="9">
        <f t="shared" si="44"/>
        <v>0.75</v>
      </c>
    </row>
    <row r="249" ht="72">
      <c r="A249" s="24" t="s">
        <v>38</v>
      </c>
      <c r="B249" s="25" t="s">
        <v>168</v>
      </c>
      <c r="C249" s="26" t="s">
        <v>169</v>
      </c>
      <c r="D249" s="25" t="s">
        <v>170</v>
      </c>
      <c r="E249" s="26" t="s">
        <v>172</v>
      </c>
      <c r="F249" s="27" t="s">
        <v>22</v>
      </c>
      <c r="G249" s="28">
        <f t="shared" si="45"/>
        <v>1</v>
      </c>
      <c r="H249" s="9" t="s">
        <v>24</v>
      </c>
      <c r="I249" s="9">
        <f t="shared" si="46"/>
        <v>1</v>
      </c>
      <c r="J249" s="9">
        <f t="shared" si="44"/>
        <v>1</v>
      </c>
    </row>
    <row r="250" ht="54">
      <c r="A250" s="24" t="s">
        <v>38</v>
      </c>
      <c r="B250" s="25" t="s">
        <v>168</v>
      </c>
      <c r="C250" s="26" t="s">
        <v>169</v>
      </c>
      <c r="D250" s="25" t="s">
        <v>170</v>
      </c>
      <c r="E250" s="26" t="s">
        <v>173</v>
      </c>
      <c r="F250" s="27" t="s">
        <v>22</v>
      </c>
      <c r="G250" s="28">
        <f t="shared" si="45"/>
        <v>1</v>
      </c>
      <c r="H250" s="9" t="s">
        <v>24</v>
      </c>
      <c r="I250" s="9">
        <f t="shared" si="46"/>
        <v>1</v>
      </c>
      <c r="J250" s="9">
        <f t="shared" si="44"/>
        <v>1</v>
      </c>
    </row>
    <row r="251" ht="72">
      <c r="A251" s="24" t="s">
        <v>38</v>
      </c>
      <c r="B251" s="25" t="s">
        <v>168</v>
      </c>
      <c r="C251" s="26" t="s">
        <v>174</v>
      </c>
      <c r="D251" s="25" t="s">
        <v>175</v>
      </c>
      <c r="E251" s="26" t="s">
        <v>176</v>
      </c>
      <c r="F251" s="27" t="s">
        <v>53</v>
      </c>
      <c r="G251" s="28">
        <f t="shared" si="45"/>
        <v>0</v>
      </c>
      <c r="H251" s="9" t="str">
        <f t="shared" si="47"/>
        <v xml:space="preserve">No Cumple</v>
      </c>
      <c r="I251" s="9">
        <f t="shared" si="46"/>
        <v>0</v>
      </c>
      <c r="J251" s="9">
        <f t="shared" si="44"/>
        <v>0</v>
      </c>
    </row>
    <row r="252" ht="90">
      <c r="A252" s="24" t="s">
        <v>38</v>
      </c>
      <c r="B252" s="25" t="s">
        <v>168</v>
      </c>
      <c r="C252" s="26" t="s">
        <v>174</v>
      </c>
      <c r="D252" s="25" t="s">
        <v>175</v>
      </c>
      <c r="E252" s="26" t="s">
        <v>177</v>
      </c>
      <c r="F252" s="27" t="s">
        <v>53</v>
      </c>
      <c r="G252" s="28">
        <f t="shared" si="45"/>
        <v>0</v>
      </c>
      <c r="H252" s="9" t="str">
        <f t="shared" si="47"/>
        <v xml:space="preserve">No Cumple</v>
      </c>
      <c r="I252" s="9">
        <f t="shared" si="46"/>
        <v>0</v>
      </c>
      <c r="J252" s="9">
        <f t="shared" si="44"/>
        <v>0</v>
      </c>
    </row>
    <row r="253" ht="72">
      <c r="A253" s="24" t="s">
        <v>38</v>
      </c>
      <c r="B253" s="25" t="s">
        <v>168</v>
      </c>
      <c r="C253" s="26" t="s">
        <v>174</v>
      </c>
      <c r="D253" s="25" t="s">
        <v>175</v>
      </c>
      <c r="E253" s="26" t="s">
        <v>178</v>
      </c>
      <c r="F253" s="27" t="s">
        <v>22</v>
      </c>
      <c r="G253" s="28">
        <f t="shared" si="45"/>
        <v>1</v>
      </c>
      <c r="H253" s="9" t="s">
        <v>24</v>
      </c>
      <c r="I253" s="9">
        <f t="shared" si="46"/>
        <v>1</v>
      </c>
      <c r="J253" s="9">
        <f t="shared" si="44"/>
        <v>1</v>
      </c>
    </row>
    <row r="254" ht="72">
      <c r="A254" s="24" t="s">
        <v>38</v>
      </c>
      <c r="B254" s="25" t="s">
        <v>168</v>
      </c>
      <c r="C254" s="26" t="s">
        <v>179</v>
      </c>
      <c r="D254" s="25" t="s">
        <v>180</v>
      </c>
      <c r="E254" s="26" t="s">
        <v>181</v>
      </c>
      <c r="F254" s="27" t="s">
        <v>53</v>
      </c>
      <c r="G254" s="28">
        <f t="shared" si="45"/>
        <v>0</v>
      </c>
      <c r="H254" s="9" t="str">
        <f t="shared" si="47"/>
        <v xml:space="preserve">No Cumple</v>
      </c>
      <c r="I254" s="9">
        <f t="shared" si="46"/>
        <v>0</v>
      </c>
      <c r="J254" s="9">
        <f t="shared" si="44"/>
        <v>0</v>
      </c>
    </row>
    <row r="255" ht="90">
      <c r="A255" s="24" t="s">
        <v>38</v>
      </c>
      <c r="B255" s="25" t="s">
        <v>168</v>
      </c>
      <c r="C255" s="26" t="s">
        <v>179</v>
      </c>
      <c r="D255" s="25" t="s">
        <v>182</v>
      </c>
      <c r="E255" s="26" t="s">
        <v>183</v>
      </c>
      <c r="F255" s="27" t="s">
        <v>53</v>
      </c>
      <c r="G255" s="28">
        <f t="shared" si="45"/>
        <v>0</v>
      </c>
      <c r="H255" s="9" t="str">
        <f t="shared" si="47"/>
        <v xml:space="preserve">No Cumple</v>
      </c>
      <c r="I255" s="9">
        <f t="shared" si="46"/>
        <v>0</v>
      </c>
      <c r="J255" s="9">
        <f t="shared" si="44"/>
        <v>0</v>
      </c>
    </row>
    <row r="256" ht="72">
      <c r="A256" s="24" t="s">
        <v>38</v>
      </c>
      <c r="B256" s="25" t="s">
        <v>168</v>
      </c>
      <c r="C256" s="26" t="s">
        <v>179</v>
      </c>
      <c r="D256" s="25" t="s">
        <v>182</v>
      </c>
      <c r="E256" s="26" t="s">
        <v>184</v>
      </c>
      <c r="F256" s="27" t="s">
        <v>53</v>
      </c>
      <c r="G256" s="28">
        <f t="shared" si="45"/>
        <v>0</v>
      </c>
      <c r="H256" s="9" t="str">
        <f t="shared" si="47"/>
        <v xml:space="preserve">No Cumple</v>
      </c>
      <c r="I256" s="9">
        <f t="shared" si="46"/>
        <v>0</v>
      </c>
      <c r="J256" s="9">
        <f t="shared" si="44"/>
        <v>0</v>
      </c>
    </row>
    <row r="257" ht="72">
      <c r="A257" s="24" t="s">
        <v>38</v>
      </c>
      <c r="B257" s="25" t="s">
        <v>168</v>
      </c>
      <c r="C257" s="26" t="s">
        <v>185</v>
      </c>
      <c r="D257" s="25" t="s">
        <v>186</v>
      </c>
      <c r="E257" s="26" t="s">
        <v>187</v>
      </c>
      <c r="F257" s="27" t="s">
        <v>53</v>
      </c>
      <c r="G257" s="28">
        <f t="shared" si="45"/>
        <v>0</v>
      </c>
      <c r="H257" s="9" t="str">
        <f t="shared" si="47"/>
        <v xml:space="preserve">No Cumple</v>
      </c>
      <c r="I257" s="9">
        <f t="shared" si="46"/>
        <v>0</v>
      </c>
      <c r="J257" s="9">
        <f t="shared" si="44"/>
        <v>0</v>
      </c>
    </row>
    <row r="258" ht="72">
      <c r="A258" s="24" t="s">
        <v>38</v>
      </c>
      <c r="B258" s="25" t="s">
        <v>168</v>
      </c>
      <c r="C258" s="26" t="s">
        <v>185</v>
      </c>
      <c r="D258" s="25" t="s">
        <v>186</v>
      </c>
      <c r="E258" s="26" t="s">
        <v>188</v>
      </c>
      <c r="F258" s="27" t="s">
        <v>53</v>
      </c>
      <c r="G258" s="28">
        <f t="shared" si="45"/>
        <v>0</v>
      </c>
      <c r="H258" s="9" t="str">
        <f t="shared" si="47"/>
        <v xml:space="preserve">No Cumple</v>
      </c>
      <c r="I258" s="9">
        <f t="shared" si="46"/>
        <v>0</v>
      </c>
      <c r="J258" s="9">
        <f t="shared" ref="J258:J321" si="48">AVERAGE(G258,I258)</f>
        <v>0</v>
      </c>
    </row>
    <row r="259" ht="72">
      <c r="A259" s="24" t="s">
        <v>38</v>
      </c>
      <c r="B259" s="25" t="s">
        <v>168</v>
      </c>
      <c r="C259" s="26" t="s">
        <v>185</v>
      </c>
      <c r="D259" s="25" t="s">
        <v>186</v>
      </c>
      <c r="E259" s="26" t="s">
        <v>189</v>
      </c>
      <c r="F259" s="27" t="s">
        <v>53</v>
      </c>
      <c r="G259" s="28">
        <f t="shared" ref="G259:G322" si="49">IF(F259="Cumple",1,IF(F259="Cumple Parcialmente",0.5,IF(F259="No Cumple",0,"")))</f>
        <v>0</v>
      </c>
      <c r="H259" s="9" t="str">
        <f t="shared" si="47"/>
        <v xml:space="preserve">No Cumple</v>
      </c>
      <c r="I259" s="9">
        <f t="shared" ref="I259:I322" si="50">IF(H259="Cumple",1,IF(H259="Cumple Parcialmente",0.5,IF(H259="No Cumple",0,"")))</f>
        <v>0</v>
      </c>
      <c r="J259" s="9">
        <f t="shared" si="48"/>
        <v>0</v>
      </c>
    </row>
    <row r="260" ht="54">
      <c r="A260" s="24" t="s">
        <v>38</v>
      </c>
      <c r="B260" s="25" t="s">
        <v>168</v>
      </c>
      <c r="C260" s="26" t="s">
        <v>190</v>
      </c>
      <c r="D260" s="25" t="s">
        <v>191</v>
      </c>
      <c r="E260" s="26" t="s">
        <v>192</v>
      </c>
      <c r="F260" s="27" t="s">
        <v>53</v>
      </c>
      <c r="G260" s="28">
        <f t="shared" si="49"/>
        <v>0</v>
      </c>
      <c r="H260" s="9" t="str">
        <f t="shared" ref="H260:H322" si="51">IF(OR(F260="No Cumple",F260="Cumple Parcialmente"),F260,"")</f>
        <v xml:space="preserve">No Cumple</v>
      </c>
      <c r="I260" s="9">
        <f t="shared" si="50"/>
        <v>0</v>
      </c>
      <c r="J260" s="9">
        <f t="shared" si="48"/>
        <v>0</v>
      </c>
    </row>
    <row r="261" ht="54">
      <c r="A261" s="24" t="s">
        <v>38</v>
      </c>
      <c r="B261" s="25" t="s">
        <v>168</v>
      </c>
      <c r="C261" s="26" t="s">
        <v>190</v>
      </c>
      <c r="D261" s="25" t="s">
        <v>193</v>
      </c>
      <c r="E261" s="26" t="s">
        <v>194</v>
      </c>
      <c r="F261" s="27" t="s">
        <v>53</v>
      </c>
      <c r="G261" s="28">
        <f t="shared" si="49"/>
        <v>0</v>
      </c>
      <c r="H261" s="9" t="str">
        <f t="shared" si="51"/>
        <v xml:space="preserve">No Cumple</v>
      </c>
      <c r="I261" s="9">
        <f t="shared" si="50"/>
        <v>0</v>
      </c>
      <c r="J261" s="9">
        <f t="shared" si="48"/>
        <v>0</v>
      </c>
    </row>
    <row r="262" ht="54">
      <c r="A262" s="24" t="s">
        <v>38</v>
      </c>
      <c r="B262" s="25" t="s">
        <v>168</v>
      </c>
      <c r="C262" s="26" t="s">
        <v>190</v>
      </c>
      <c r="D262" s="25" t="s">
        <v>193</v>
      </c>
      <c r="E262" s="26" t="s">
        <v>195</v>
      </c>
      <c r="F262" s="27" t="s">
        <v>53</v>
      </c>
      <c r="G262" s="28">
        <f t="shared" si="49"/>
        <v>0</v>
      </c>
      <c r="H262" s="9" t="str">
        <f t="shared" si="51"/>
        <v xml:space="preserve">No Cumple</v>
      </c>
      <c r="I262" s="9">
        <f t="shared" si="50"/>
        <v>0</v>
      </c>
      <c r="J262" s="9">
        <f t="shared" si="48"/>
        <v>0</v>
      </c>
    </row>
    <row r="263" ht="54">
      <c r="A263" s="24" t="s">
        <v>38</v>
      </c>
      <c r="B263" s="25" t="s">
        <v>168</v>
      </c>
      <c r="C263" s="26" t="s">
        <v>196</v>
      </c>
      <c r="D263" s="25" t="s">
        <v>197</v>
      </c>
      <c r="E263" s="26" t="s">
        <v>198</v>
      </c>
      <c r="F263" s="27" t="s">
        <v>53</v>
      </c>
      <c r="G263" s="28">
        <f t="shared" si="49"/>
        <v>0</v>
      </c>
      <c r="H263" s="9" t="str">
        <f t="shared" si="51"/>
        <v xml:space="preserve">No Cumple</v>
      </c>
      <c r="I263" s="9">
        <f t="shared" si="50"/>
        <v>0</v>
      </c>
      <c r="J263" s="9">
        <f t="shared" si="48"/>
        <v>0</v>
      </c>
    </row>
    <row r="264" ht="72">
      <c r="A264" s="24" t="s">
        <v>38</v>
      </c>
      <c r="B264" s="25" t="s">
        <v>168</v>
      </c>
      <c r="C264" s="26" t="s">
        <v>196</v>
      </c>
      <c r="D264" s="25" t="s">
        <v>197</v>
      </c>
      <c r="E264" s="26" t="s">
        <v>199</v>
      </c>
      <c r="F264" s="27" t="s">
        <v>53</v>
      </c>
      <c r="G264" s="28">
        <f t="shared" si="49"/>
        <v>0</v>
      </c>
      <c r="H264" s="9" t="str">
        <f t="shared" si="51"/>
        <v xml:space="preserve">No Cumple</v>
      </c>
      <c r="I264" s="9">
        <f t="shared" si="50"/>
        <v>0</v>
      </c>
      <c r="J264" s="9">
        <f t="shared" si="48"/>
        <v>0</v>
      </c>
    </row>
    <row r="265" ht="72">
      <c r="A265" s="24" t="s">
        <v>38</v>
      </c>
      <c r="B265" s="25" t="s">
        <v>168</v>
      </c>
      <c r="C265" s="26" t="s">
        <v>196</v>
      </c>
      <c r="D265" s="25" t="s">
        <v>197</v>
      </c>
      <c r="E265" s="26" t="s">
        <v>200</v>
      </c>
      <c r="F265" s="27" t="s">
        <v>53</v>
      </c>
      <c r="G265" s="28">
        <f t="shared" si="49"/>
        <v>0</v>
      </c>
      <c r="H265" s="9" t="str">
        <f t="shared" si="51"/>
        <v xml:space="preserve">No Cumple</v>
      </c>
      <c r="I265" s="9">
        <f t="shared" si="50"/>
        <v>0</v>
      </c>
      <c r="J265" s="9">
        <f t="shared" si="48"/>
        <v>0</v>
      </c>
    </row>
    <row r="266" ht="54">
      <c r="A266" s="24" t="s">
        <v>38</v>
      </c>
      <c r="B266" s="25" t="s">
        <v>201</v>
      </c>
      <c r="C266" s="26" t="s">
        <v>202</v>
      </c>
      <c r="D266" s="25" t="s">
        <v>203</v>
      </c>
      <c r="E266" s="26" t="s">
        <v>204</v>
      </c>
      <c r="F266" s="27" t="s">
        <v>53</v>
      </c>
      <c r="G266" s="28">
        <f t="shared" si="49"/>
        <v>0</v>
      </c>
      <c r="H266" s="9" t="str">
        <f t="shared" si="51"/>
        <v xml:space="preserve">No Cumple</v>
      </c>
      <c r="I266" s="9">
        <f t="shared" si="50"/>
        <v>0</v>
      </c>
      <c r="J266" s="9">
        <f t="shared" si="48"/>
        <v>0</v>
      </c>
    </row>
    <row r="267" ht="54">
      <c r="A267" s="24" t="s">
        <v>38</v>
      </c>
      <c r="B267" s="25" t="s">
        <v>201</v>
      </c>
      <c r="C267" s="26" t="s">
        <v>202</v>
      </c>
      <c r="D267" s="25" t="s">
        <v>203</v>
      </c>
      <c r="E267" s="26" t="s">
        <v>205</v>
      </c>
      <c r="F267" s="27" t="s">
        <v>53</v>
      </c>
      <c r="G267" s="28">
        <f t="shared" si="49"/>
        <v>0</v>
      </c>
      <c r="H267" s="9" t="str">
        <f t="shared" si="51"/>
        <v xml:space="preserve">No Cumple</v>
      </c>
      <c r="I267" s="9">
        <f t="shared" si="50"/>
        <v>0</v>
      </c>
      <c r="J267" s="9">
        <f t="shared" si="48"/>
        <v>0</v>
      </c>
    </row>
    <row r="268" ht="72">
      <c r="A268" s="24" t="s">
        <v>38</v>
      </c>
      <c r="B268" s="25" t="s">
        <v>201</v>
      </c>
      <c r="C268" s="26" t="s">
        <v>202</v>
      </c>
      <c r="D268" s="25" t="s">
        <v>203</v>
      </c>
      <c r="E268" s="26" t="s">
        <v>206</v>
      </c>
      <c r="F268" s="27" t="s">
        <v>53</v>
      </c>
      <c r="G268" s="28">
        <f t="shared" si="49"/>
        <v>0</v>
      </c>
      <c r="H268" s="9" t="str">
        <f t="shared" si="51"/>
        <v xml:space="preserve">No Cumple</v>
      </c>
      <c r="I268" s="9">
        <f t="shared" si="50"/>
        <v>0</v>
      </c>
      <c r="J268" s="9">
        <f t="shared" si="48"/>
        <v>0</v>
      </c>
    </row>
    <row r="269" ht="72">
      <c r="A269" s="24" t="s">
        <v>38</v>
      </c>
      <c r="B269" s="25" t="s">
        <v>201</v>
      </c>
      <c r="C269" s="26" t="s">
        <v>207</v>
      </c>
      <c r="D269" s="25" t="s">
        <v>208</v>
      </c>
      <c r="E269" s="26" t="s">
        <v>209</v>
      </c>
      <c r="F269" s="27" t="s">
        <v>53</v>
      </c>
      <c r="G269" s="28">
        <f t="shared" si="49"/>
        <v>0</v>
      </c>
      <c r="H269" s="9" t="str">
        <f t="shared" si="51"/>
        <v xml:space="preserve">No Cumple</v>
      </c>
      <c r="I269" s="9">
        <f t="shared" si="50"/>
        <v>0</v>
      </c>
      <c r="J269" s="9">
        <f t="shared" si="48"/>
        <v>0</v>
      </c>
    </row>
    <row r="270" ht="108">
      <c r="A270" s="24" t="s">
        <v>38</v>
      </c>
      <c r="B270" s="25" t="s">
        <v>201</v>
      </c>
      <c r="C270" s="26" t="s">
        <v>207</v>
      </c>
      <c r="D270" s="25" t="s">
        <v>208</v>
      </c>
      <c r="E270" s="26" t="s">
        <v>210</v>
      </c>
      <c r="F270" s="27" t="s">
        <v>70</v>
      </c>
      <c r="G270" s="28">
        <f t="shared" si="49"/>
        <v>0.5</v>
      </c>
      <c r="H270" s="9" t="str">
        <f t="shared" si="51"/>
        <v xml:space="preserve">Cumple Parcialmente</v>
      </c>
      <c r="I270" s="9">
        <f t="shared" si="50"/>
        <v>0.5</v>
      </c>
      <c r="J270" s="9">
        <f t="shared" si="48"/>
        <v>0.5</v>
      </c>
    </row>
    <row r="271" ht="90">
      <c r="A271" s="24" t="s">
        <v>38</v>
      </c>
      <c r="B271" s="25" t="s">
        <v>201</v>
      </c>
      <c r="C271" s="26" t="s">
        <v>207</v>
      </c>
      <c r="D271" s="25" t="s">
        <v>208</v>
      </c>
      <c r="E271" s="26" t="s">
        <v>211</v>
      </c>
      <c r="F271" s="27" t="s">
        <v>53</v>
      </c>
      <c r="G271" s="28">
        <f t="shared" si="49"/>
        <v>0</v>
      </c>
      <c r="H271" s="9" t="str">
        <f t="shared" si="51"/>
        <v xml:space="preserve">No Cumple</v>
      </c>
      <c r="I271" s="9">
        <f t="shared" si="50"/>
        <v>0</v>
      </c>
      <c r="J271" s="9">
        <f t="shared" si="48"/>
        <v>0</v>
      </c>
    </row>
    <row r="272" ht="90">
      <c r="A272" s="24" t="s">
        <v>38</v>
      </c>
      <c r="B272" s="25" t="s">
        <v>201</v>
      </c>
      <c r="C272" s="26" t="s">
        <v>212</v>
      </c>
      <c r="D272" s="25" t="s">
        <v>213</v>
      </c>
      <c r="E272" s="26" t="s">
        <v>214</v>
      </c>
      <c r="F272" s="27" t="s">
        <v>53</v>
      </c>
      <c r="G272" s="28">
        <f t="shared" si="49"/>
        <v>0</v>
      </c>
      <c r="H272" s="9" t="str">
        <f t="shared" si="51"/>
        <v xml:space="preserve">No Cumple</v>
      </c>
      <c r="I272" s="9">
        <f t="shared" si="50"/>
        <v>0</v>
      </c>
      <c r="J272" s="9">
        <f t="shared" si="48"/>
        <v>0</v>
      </c>
    </row>
    <row r="273" ht="90">
      <c r="A273" s="24" t="s">
        <v>38</v>
      </c>
      <c r="B273" s="25" t="s">
        <v>201</v>
      </c>
      <c r="C273" s="26" t="s">
        <v>212</v>
      </c>
      <c r="D273" s="25" t="s">
        <v>213</v>
      </c>
      <c r="E273" s="26" t="s">
        <v>215</v>
      </c>
      <c r="F273" s="27" t="s">
        <v>53</v>
      </c>
      <c r="G273" s="28">
        <f t="shared" si="49"/>
        <v>0</v>
      </c>
      <c r="H273" s="9" t="str">
        <f t="shared" si="51"/>
        <v xml:space="preserve">No Cumple</v>
      </c>
      <c r="I273" s="9">
        <f t="shared" si="50"/>
        <v>0</v>
      </c>
      <c r="J273" s="9">
        <f t="shared" si="48"/>
        <v>0</v>
      </c>
    </row>
    <row r="274" ht="90">
      <c r="A274" s="24" t="s">
        <v>38</v>
      </c>
      <c r="B274" s="25" t="s">
        <v>201</v>
      </c>
      <c r="C274" s="26" t="s">
        <v>212</v>
      </c>
      <c r="D274" s="25" t="s">
        <v>213</v>
      </c>
      <c r="E274" s="26" t="s">
        <v>216</v>
      </c>
      <c r="F274" s="27" t="s">
        <v>53</v>
      </c>
      <c r="G274" s="28">
        <f t="shared" si="49"/>
        <v>0</v>
      </c>
      <c r="H274" s="9" t="str">
        <f t="shared" si="51"/>
        <v xml:space="preserve">No Cumple</v>
      </c>
      <c r="I274" s="9">
        <f t="shared" si="50"/>
        <v>0</v>
      </c>
      <c r="J274" s="9">
        <f t="shared" si="48"/>
        <v>0</v>
      </c>
    </row>
    <row r="275" ht="90">
      <c r="A275" s="24" t="s">
        <v>38</v>
      </c>
      <c r="B275" s="25" t="s">
        <v>201</v>
      </c>
      <c r="C275" s="26" t="s">
        <v>217</v>
      </c>
      <c r="D275" s="25" t="s">
        <v>218</v>
      </c>
      <c r="E275" s="26" t="s">
        <v>219</v>
      </c>
      <c r="F275" s="27" t="s">
        <v>53</v>
      </c>
      <c r="G275" s="28">
        <f t="shared" si="49"/>
        <v>0</v>
      </c>
      <c r="H275" s="9" t="str">
        <f t="shared" si="51"/>
        <v xml:space="preserve">No Cumple</v>
      </c>
      <c r="I275" s="9">
        <f t="shared" si="50"/>
        <v>0</v>
      </c>
      <c r="J275" s="9">
        <f t="shared" si="48"/>
        <v>0</v>
      </c>
    </row>
    <row r="276" ht="72">
      <c r="A276" s="24" t="s">
        <v>38</v>
      </c>
      <c r="B276" s="25" t="s">
        <v>201</v>
      </c>
      <c r="C276" s="26" t="s">
        <v>217</v>
      </c>
      <c r="D276" s="25" t="s">
        <v>218</v>
      </c>
      <c r="E276" s="26" t="s">
        <v>220</v>
      </c>
      <c r="F276" s="27" t="s">
        <v>22</v>
      </c>
      <c r="G276" s="28">
        <f t="shared" si="49"/>
        <v>1</v>
      </c>
      <c r="H276" s="9" t="s">
        <v>24</v>
      </c>
      <c r="I276" s="9">
        <f t="shared" si="50"/>
        <v>1</v>
      </c>
      <c r="J276" s="9">
        <f t="shared" si="48"/>
        <v>1</v>
      </c>
    </row>
    <row r="277" ht="54">
      <c r="A277" s="24" t="s">
        <v>38</v>
      </c>
      <c r="B277" s="25" t="s">
        <v>201</v>
      </c>
      <c r="C277" s="26" t="s">
        <v>217</v>
      </c>
      <c r="D277" s="25" t="s">
        <v>218</v>
      </c>
      <c r="E277" s="26" t="s">
        <v>221</v>
      </c>
      <c r="F277" s="27" t="s">
        <v>22</v>
      </c>
      <c r="G277" s="28">
        <f t="shared" si="49"/>
        <v>1</v>
      </c>
      <c r="H277" s="9" t="s">
        <v>24</v>
      </c>
      <c r="I277" s="9">
        <f t="shared" si="50"/>
        <v>1</v>
      </c>
      <c r="J277" s="9">
        <f t="shared" si="48"/>
        <v>1</v>
      </c>
    </row>
    <row r="278" ht="72">
      <c r="A278" s="24" t="s">
        <v>42</v>
      </c>
      <c r="B278" s="25" t="s">
        <v>144</v>
      </c>
      <c r="C278" s="26" t="s">
        <v>145</v>
      </c>
      <c r="D278" s="25" t="s">
        <v>146</v>
      </c>
      <c r="E278" s="26" t="s">
        <v>147</v>
      </c>
      <c r="F278" s="27" t="s">
        <v>22</v>
      </c>
      <c r="G278" s="28">
        <f t="shared" si="49"/>
        <v>1</v>
      </c>
      <c r="H278" s="9" t="s">
        <v>24</v>
      </c>
      <c r="I278" s="9">
        <f t="shared" si="50"/>
        <v>1</v>
      </c>
      <c r="J278" s="9">
        <f t="shared" si="48"/>
        <v>1</v>
      </c>
    </row>
    <row r="279" ht="54">
      <c r="A279" s="24" t="s">
        <v>42</v>
      </c>
      <c r="B279" s="25" t="s">
        <v>144</v>
      </c>
      <c r="C279" s="26" t="s">
        <v>145</v>
      </c>
      <c r="D279" s="25" t="s">
        <v>146</v>
      </c>
      <c r="E279" s="26" t="s">
        <v>148</v>
      </c>
      <c r="F279" s="27" t="s">
        <v>22</v>
      </c>
      <c r="G279" s="28">
        <f t="shared" si="49"/>
        <v>1</v>
      </c>
      <c r="H279" s="9" t="s">
        <v>70</v>
      </c>
      <c r="I279" s="9">
        <f t="shared" si="50"/>
        <v>0.5</v>
      </c>
      <c r="J279" s="9">
        <f t="shared" si="48"/>
        <v>0.75</v>
      </c>
    </row>
    <row r="280" ht="72">
      <c r="A280" s="24" t="s">
        <v>42</v>
      </c>
      <c r="B280" s="25" t="s">
        <v>144</v>
      </c>
      <c r="C280" s="26" t="s">
        <v>145</v>
      </c>
      <c r="D280" s="25" t="s">
        <v>146</v>
      </c>
      <c r="E280" s="26" t="s">
        <v>149</v>
      </c>
      <c r="F280" s="27" t="s">
        <v>22</v>
      </c>
      <c r="G280" s="28">
        <f t="shared" si="49"/>
        <v>1</v>
      </c>
      <c r="H280" s="9" t="s">
        <v>24</v>
      </c>
      <c r="I280" s="9">
        <f t="shared" si="50"/>
        <v>1</v>
      </c>
      <c r="J280" s="9">
        <f t="shared" si="48"/>
        <v>1</v>
      </c>
    </row>
    <row r="281" ht="72">
      <c r="A281" s="24" t="s">
        <v>42</v>
      </c>
      <c r="B281" s="25" t="s">
        <v>144</v>
      </c>
      <c r="C281" s="26" t="s">
        <v>145</v>
      </c>
      <c r="D281" s="25" t="s">
        <v>146</v>
      </c>
      <c r="E281" s="26" t="s">
        <v>150</v>
      </c>
      <c r="F281" s="27" t="s">
        <v>22</v>
      </c>
      <c r="G281" s="28">
        <f t="shared" si="49"/>
        <v>1</v>
      </c>
      <c r="H281" s="9" t="s">
        <v>24</v>
      </c>
      <c r="I281" s="9">
        <f t="shared" si="50"/>
        <v>1</v>
      </c>
      <c r="J281" s="9">
        <f t="shared" si="48"/>
        <v>1</v>
      </c>
    </row>
    <row r="282" ht="54">
      <c r="A282" s="24" t="s">
        <v>42</v>
      </c>
      <c r="B282" s="25" t="s">
        <v>144</v>
      </c>
      <c r="C282" s="26" t="s">
        <v>151</v>
      </c>
      <c r="D282" s="25" t="s">
        <v>152</v>
      </c>
      <c r="E282" s="26" t="s">
        <v>153</v>
      </c>
      <c r="F282" s="27" t="s">
        <v>22</v>
      </c>
      <c r="G282" s="28">
        <f t="shared" si="49"/>
        <v>1</v>
      </c>
      <c r="H282" s="9" t="s">
        <v>24</v>
      </c>
      <c r="I282" s="9">
        <f t="shared" si="50"/>
        <v>1</v>
      </c>
      <c r="J282" s="9">
        <f t="shared" si="48"/>
        <v>1</v>
      </c>
    </row>
    <row r="283" ht="72">
      <c r="A283" s="24" t="s">
        <v>42</v>
      </c>
      <c r="B283" s="25" t="s">
        <v>144</v>
      </c>
      <c r="C283" s="26" t="s">
        <v>151</v>
      </c>
      <c r="D283" s="25" t="s">
        <v>152</v>
      </c>
      <c r="E283" s="26" t="s">
        <v>154</v>
      </c>
      <c r="F283" s="27" t="s">
        <v>22</v>
      </c>
      <c r="G283" s="28">
        <f t="shared" si="49"/>
        <v>1</v>
      </c>
      <c r="H283" s="9" t="s">
        <v>24</v>
      </c>
      <c r="I283" s="9">
        <f t="shared" si="50"/>
        <v>1</v>
      </c>
      <c r="J283" s="9">
        <f t="shared" si="48"/>
        <v>1</v>
      </c>
    </row>
    <row r="284" ht="72">
      <c r="A284" s="24" t="s">
        <v>42</v>
      </c>
      <c r="B284" s="25" t="s">
        <v>144</v>
      </c>
      <c r="C284" s="26" t="s">
        <v>151</v>
      </c>
      <c r="D284" s="25" t="s">
        <v>152</v>
      </c>
      <c r="E284" s="26" t="s">
        <v>155</v>
      </c>
      <c r="F284" s="27" t="s">
        <v>22</v>
      </c>
      <c r="G284" s="28">
        <f t="shared" si="49"/>
        <v>1</v>
      </c>
      <c r="H284" s="9" t="s">
        <v>24</v>
      </c>
      <c r="I284" s="9">
        <f t="shared" si="50"/>
        <v>1</v>
      </c>
      <c r="J284" s="9">
        <f t="shared" si="48"/>
        <v>1</v>
      </c>
    </row>
    <row r="285" ht="54">
      <c r="A285" s="24" t="s">
        <v>42</v>
      </c>
      <c r="B285" s="25" t="s">
        <v>144</v>
      </c>
      <c r="C285" s="26" t="s">
        <v>151</v>
      </c>
      <c r="D285" s="25" t="s">
        <v>152</v>
      </c>
      <c r="E285" s="26" t="s">
        <v>156</v>
      </c>
      <c r="F285" s="27" t="s">
        <v>22</v>
      </c>
      <c r="G285" s="28">
        <f t="shared" si="49"/>
        <v>1</v>
      </c>
      <c r="H285" s="9" t="s">
        <v>24</v>
      </c>
      <c r="I285" s="9">
        <f t="shared" si="50"/>
        <v>1</v>
      </c>
      <c r="J285" s="9">
        <f t="shared" si="48"/>
        <v>1</v>
      </c>
    </row>
    <row r="286" ht="72">
      <c r="A286" s="24" t="s">
        <v>42</v>
      </c>
      <c r="B286" s="25" t="s">
        <v>144</v>
      </c>
      <c r="C286" s="26" t="s">
        <v>157</v>
      </c>
      <c r="D286" s="25" t="s">
        <v>158</v>
      </c>
      <c r="E286" s="26" t="s">
        <v>159</v>
      </c>
      <c r="F286" s="27" t="s">
        <v>22</v>
      </c>
      <c r="G286" s="28">
        <f t="shared" si="49"/>
        <v>1</v>
      </c>
      <c r="H286" s="9" t="s">
        <v>24</v>
      </c>
      <c r="I286" s="9">
        <f t="shared" si="50"/>
        <v>1</v>
      </c>
      <c r="J286" s="9">
        <f t="shared" si="48"/>
        <v>1</v>
      </c>
    </row>
    <row r="287" ht="72">
      <c r="A287" s="24" t="s">
        <v>42</v>
      </c>
      <c r="B287" s="25" t="s">
        <v>144</v>
      </c>
      <c r="C287" s="26" t="s">
        <v>157</v>
      </c>
      <c r="D287" s="25" t="s">
        <v>158</v>
      </c>
      <c r="E287" s="26" t="s">
        <v>160</v>
      </c>
      <c r="F287" s="27" t="s">
        <v>22</v>
      </c>
      <c r="G287" s="28">
        <f t="shared" si="49"/>
        <v>1</v>
      </c>
      <c r="H287" s="9" t="s">
        <v>24</v>
      </c>
      <c r="I287" s="9">
        <f t="shared" si="50"/>
        <v>1</v>
      </c>
      <c r="J287" s="9">
        <f t="shared" si="48"/>
        <v>1</v>
      </c>
    </row>
    <row r="288" ht="72">
      <c r="A288" s="24" t="s">
        <v>42</v>
      </c>
      <c r="B288" s="25" t="s">
        <v>144</v>
      </c>
      <c r="C288" s="26" t="s">
        <v>157</v>
      </c>
      <c r="D288" s="25" t="s">
        <v>158</v>
      </c>
      <c r="E288" s="26" t="s">
        <v>161</v>
      </c>
      <c r="F288" s="27" t="s">
        <v>22</v>
      </c>
      <c r="G288" s="28">
        <f t="shared" si="49"/>
        <v>1</v>
      </c>
      <c r="H288" s="9" t="s">
        <v>24</v>
      </c>
      <c r="I288" s="9">
        <f t="shared" si="50"/>
        <v>1</v>
      </c>
      <c r="J288" s="9">
        <f t="shared" si="48"/>
        <v>1</v>
      </c>
    </row>
    <row r="289" ht="72">
      <c r="A289" s="24" t="s">
        <v>42</v>
      </c>
      <c r="B289" s="25" t="s">
        <v>144</v>
      </c>
      <c r="C289" s="26" t="s">
        <v>157</v>
      </c>
      <c r="D289" s="25" t="s">
        <v>158</v>
      </c>
      <c r="E289" s="26" t="s">
        <v>162</v>
      </c>
      <c r="F289" s="27" t="s">
        <v>22</v>
      </c>
      <c r="G289" s="28">
        <f t="shared" si="49"/>
        <v>1</v>
      </c>
      <c r="H289" s="9" t="s">
        <v>24</v>
      </c>
      <c r="I289" s="9">
        <f t="shared" si="50"/>
        <v>1</v>
      </c>
      <c r="J289" s="9">
        <f t="shared" si="48"/>
        <v>1</v>
      </c>
    </row>
    <row r="290" ht="72">
      <c r="A290" s="24" t="s">
        <v>42</v>
      </c>
      <c r="B290" s="25" t="s">
        <v>144</v>
      </c>
      <c r="C290" s="26" t="s">
        <v>163</v>
      </c>
      <c r="D290" s="25" t="s">
        <v>163</v>
      </c>
      <c r="E290" s="26" t="s">
        <v>164</v>
      </c>
      <c r="F290" s="27" t="s">
        <v>22</v>
      </c>
      <c r="G290" s="28">
        <f t="shared" si="49"/>
        <v>1</v>
      </c>
      <c r="H290" s="9" t="s">
        <v>24</v>
      </c>
      <c r="I290" s="9">
        <f t="shared" si="50"/>
        <v>1</v>
      </c>
      <c r="J290" s="9">
        <f t="shared" si="48"/>
        <v>1</v>
      </c>
    </row>
    <row r="291" ht="72">
      <c r="A291" s="24" t="s">
        <v>42</v>
      </c>
      <c r="B291" s="25" t="s">
        <v>144</v>
      </c>
      <c r="C291" s="26" t="s">
        <v>163</v>
      </c>
      <c r="D291" s="25" t="s">
        <v>163</v>
      </c>
      <c r="E291" s="26" t="s">
        <v>165</v>
      </c>
      <c r="F291" s="27" t="s">
        <v>22</v>
      </c>
      <c r="G291" s="28">
        <f t="shared" si="49"/>
        <v>1</v>
      </c>
      <c r="H291" s="9" t="s">
        <v>24</v>
      </c>
      <c r="I291" s="9">
        <f t="shared" si="50"/>
        <v>1</v>
      </c>
      <c r="J291" s="9">
        <f t="shared" si="48"/>
        <v>1</v>
      </c>
    </row>
    <row r="292" ht="72">
      <c r="A292" s="24" t="s">
        <v>42</v>
      </c>
      <c r="B292" s="25" t="s">
        <v>144</v>
      </c>
      <c r="C292" s="26" t="s">
        <v>163</v>
      </c>
      <c r="D292" s="25" t="s">
        <v>163</v>
      </c>
      <c r="E292" s="26" t="s">
        <v>166</v>
      </c>
      <c r="F292" s="27" t="s">
        <v>22</v>
      </c>
      <c r="G292" s="28">
        <f t="shared" si="49"/>
        <v>1</v>
      </c>
      <c r="H292" s="9" t="s">
        <v>24</v>
      </c>
      <c r="I292" s="9">
        <f t="shared" si="50"/>
        <v>1</v>
      </c>
      <c r="J292" s="9">
        <f t="shared" si="48"/>
        <v>1</v>
      </c>
    </row>
    <row r="293" ht="54">
      <c r="A293" s="24" t="s">
        <v>42</v>
      </c>
      <c r="B293" s="25" t="s">
        <v>144</v>
      </c>
      <c r="C293" s="26" t="s">
        <v>163</v>
      </c>
      <c r="D293" s="25" t="s">
        <v>163</v>
      </c>
      <c r="E293" s="26" t="s">
        <v>167</v>
      </c>
      <c r="F293" s="27" t="s">
        <v>22</v>
      </c>
      <c r="G293" s="28">
        <f t="shared" si="49"/>
        <v>1</v>
      </c>
      <c r="H293" s="9" t="s">
        <v>24</v>
      </c>
      <c r="I293" s="9">
        <f t="shared" si="50"/>
        <v>1</v>
      </c>
      <c r="J293" s="9">
        <f t="shared" si="48"/>
        <v>1</v>
      </c>
    </row>
    <row r="294" ht="90">
      <c r="A294" s="24" t="s">
        <v>42</v>
      </c>
      <c r="B294" s="25" t="s">
        <v>168</v>
      </c>
      <c r="C294" s="26" t="s">
        <v>169</v>
      </c>
      <c r="D294" s="25" t="s">
        <v>170</v>
      </c>
      <c r="E294" s="26" t="s">
        <v>171</v>
      </c>
      <c r="F294" s="27" t="s">
        <v>22</v>
      </c>
      <c r="G294" s="28">
        <f t="shared" si="49"/>
        <v>1</v>
      </c>
      <c r="H294" s="9" t="s">
        <v>70</v>
      </c>
      <c r="I294" s="9">
        <f t="shared" si="50"/>
        <v>0.5</v>
      </c>
      <c r="J294" s="9">
        <f t="shared" si="48"/>
        <v>0.75</v>
      </c>
    </row>
    <row r="295" ht="72">
      <c r="A295" s="24" t="s">
        <v>42</v>
      </c>
      <c r="B295" s="25" t="s">
        <v>168</v>
      </c>
      <c r="C295" s="26" t="s">
        <v>169</v>
      </c>
      <c r="D295" s="25" t="s">
        <v>170</v>
      </c>
      <c r="E295" s="26" t="s">
        <v>172</v>
      </c>
      <c r="F295" s="27" t="s">
        <v>22</v>
      </c>
      <c r="G295" s="28">
        <f t="shared" si="49"/>
        <v>1</v>
      </c>
      <c r="H295" s="9" t="s">
        <v>24</v>
      </c>
      <c r="I295" s="9">
        <f t="shared" si="50"/>
        <v>1</v>
      </c>
      <c r="J295" s="9">
        <f t="shared" si="48"/>
        <v>1</v>
      </c>
    </row>
    <row r="296" ht="54">
      <c r="A296" s="24" t="s">
        <v>42</v>
      </c>
      <c r="B296" s="25" t="s">
        <v>168</v>
      </c>
      <c r="C296" s="26" t="s">
        <v>169</v>
      </c>
      <c r="D296" s="25" t="s">
        <v>170</v>
      </c>
      <c r="E296" s="26" t="s">
        <v>173</v>
      </c>
      <c r="F296" s="27" t="s">
        <v>22</v>
      </c>
      <c r="G296" s="28">
        <f t="shared" si="49"/>
        <v>1</v>
      </c>
      <c r="H296" s="9" t="s">
        <v>24</v>
      </c>
      <c r="I296" s="9">
        <f t="shared" si="50"/>
        <v>1</v>
      </c>
      <c r="J296" s="9">
        <f t="shared" si="48"/>
        <v>1</v>
      </c>
    </row>
    <row r="297" ht="72">
      <c r="A297" s="24" t="s">
        <v>42</v>
      </c>
      <c r="B297" s="25" t="s">
        <v>168</v>
      </c>
      <c r="C297" s="26" t="s">
        <v>174</v>
      </c>
      <c r="D297" s="25" t="s">
        <v>175</v>
      </c>
      <c r="E297" s="26" t="s">
        <v>176</v>
      </c>
      <c r="F297" s="27" t="s">
        <v>22</v>
      </c>
      <c r="G297" s="28">
        <f t="shared" si="49"/>
        <v>1</v>
      </c>
      <c r="H297" s="9" t="s">
        <v>24</v>
      </c>
      <c r="I297" s="9">
        <f t="shared" si="50"/>
        <v>1</v>
      </c>
      <c r="J297" s="9">
        <f t="shared" si="48"/>
        <v>1</v>
      </c>
    </row>
    <row r="298" ht="90">
      <c r="A298" s="24" t="s">
        <v>42</v>
      </c>
      <c r="B298" s="25" t="s">
        <v>168</v>
      </c>
      <c r="C298" s="26" t="s">
        <v>174</v>
      </c>
      <c r="D298" s="25" t="s">
        <v>175</v>
      </c>
      <c r="E298" s="26" t="s">
        <v>177</v>
      </c>
      <c r="F298" s="27" t="s">
        <v>22</v>
      </c>
      <c r="G298" s="28">
        <f t="shared" si="49"/>
        <v>1</v>
      </c>
      <c r="H298" s="9" t="s">
        <v>70</v>
      </c>
      <c r="I298" s="9">
        <f t="shared" si="50"/>
        <v>0.5</v>
      </c>
      <c r="J298" s="9">
        <f t="shared" si="48"/>
        <v>0.75</v>
      </c>
    </row>
    <row r="299" ht="72">
      <c r="A299" s="24" t="s">
        <v>42</v>
      </c>
      <c r="B299" s="25" t="s">
        <v>168</v>
      </c>
      <c r="C299" s="26" t="s">
        <v>174</v>
      </c>
      <c r="D299" s="25" t="s">
        <v>175</v>
      </c>
      <c r="E299" s="26" t="s">
        <v>178</v>
      </c>
      <c r="F299" s="27" t="s">
        <v>70</v>
      </c>
      <c r="G299" s="28">
        <f t="shared" si="49"/>
        <v>0.5</v>
      </c>
      <c r="H299" s="9" t="s">
        <v>70</v>
      </c>
      <c r="I299" s="9">
        <f t="shared" si="50"/>
        <v>0.5</v>
      </c>
      <c r="J299" s="9">
        <f t="shared" si="48"/>
        <v>0.5</v>
      </c>
    </row>
    <row r="300" ht="72">
      <c r="A300" s="24" t="s">
        <v>42</v>
      </c>
      <c r="B300" s="25" t="s">
        <v>168</v>
      </c>
      <c r="C300" s="26" t="s">
        <v>179</v>
      </c>
      <c r="D300" s="25" t="s">
        <v>180</v>
      </c>
      <c r="E300" s="26" t="s">
        <v>181</v>
      </c>
      <c r="F300" s="27" t="s">
        <v>22</v>
      </c>
      <c r="G300" s="28">
        <f t="shared" si="49"/>
        <v>1</v>
      </c>
      <c r="H300" s="9" t="s">
        <v>24</v>
      </c>
      <c r="I300" s="9">
        <f t="shared" si="50"/>
        <v>1</v>
      </c>
      <c r="J300" s="9">
        <f t="shared" si="48"/>
        <v>1</v>
      </c>
    </row>
    <row r="301" ht="90">
      <c r="A301" s="24" t="s">
        <v>42</v>
      </c>
      <c r="B301" s="25" t="s">
        <v>168</v>
      </c>
      <c r="C301" s="26" t="s">
        <v>179</v>
      </c>
      <c r="D301" s="25" t="s">
        <v>182</v>
      </c>
      <c r="E301" s="26" t="s">
        <v>183</v>
      </c>
      <c r="F301" s="27" t="s">
        <v>22</v>
      </c>
      <c r="G301" s="28">
        <f t="shared" si="49"/>
        <v>1</v>
      </c>
      <c r="H301" s="9" t="s">
        <v>24</v>
      </c>
      <c r="I301" s="9">
        <f t="shared" si="50"/>
        <v>1</v>
      </c>
      <c r="J301" s="9">
        <f t="shared" si="48"/>
        <v>1</v>
      </c>
    </row>
    <row r="302" ht="72">
      <c r="A302" s="24" t="s">
        <v>42</v>
      </c>
      <c r="B302" s="25" t="s">
        <v>168</v>
      </c>
      <c r="C302" s="26" t="s">
        <v>179</v>
      </c>
      <c r="D302" s="25" t="s">
        <v>182</v>
      </c>
      <c r="E302" s="26" t="s">
        <v>184</v>
      </c>
      <c r="F302" s="27" t="s">
        <v>22</v>
      </c>
      <c r="G302" s="28">
        <f t="shared" si="49"/>
        <v>1</v>
      </c>
      <c r="H302" s="9" t="s">
        <v>24</v>
      </c>
      <c r="I302" s="9">
        <f t="shared" si="50"/>
        <v>1</v>
      </c>
      <c r="J302" s="9">
        <f t="shared" si="48"/>
        <v>1</v>
      </c>
    </row>
    <row r="303" ht="72">
      <c r="A303" s="24" t="s">
        <v>42</v>
      </c>
      <c r="B303" s="25" t="s">
        <v>168</v>
      </c>
      <c r="C303" s="26" t="s">
        <v>185</v>
      </c>
      <c r="D303" s="25" t="s">
        <v>186</v>
      </c>
      <c r="E303" s="26" t="s">
        <v>187</v>
      </c>
      <c r="F303" s="27" t="s">
        <v>22</v>
      </c>
      <c r="G303" s="28">
        <f t="shared" si="49"/>
        <v>1</v>
      </c>
      <c r="H303" s="9" t="s">
        <v>24</v>
      </c>
      <c r="I303" s="9">
        <f t="shared" si="50"/>
        <v>1</v>
      </c>
      <c r="J303" s="9">
        <f t="shared" si="48"/>
        <v>1</v>
      </c>
    </row>
    <row r="304" ht="72">
      <c r="A304" s="24" t="s">
        <v>42</v>
      </c>
      <c r="B304" s="25" t="s">
        <v>168</v>
      </c>
      <c r="C304" s="26" t="s">
        <v>185</v>
      </c>
      <c r="D304" s="25" t="s">
        <v>186</v>
      </c>
      <c r="E304" s="26" t="s">
        <v>188</v>
      </c>
      <c r="F304" s="27" t="s">
        <v>53</v>
      </c>
      <c r="G304" s="28">
        <f t="shared" si="49"/>
        <v>0</v>
      </c>
      <c r="H304" s="9" t="str">
        <f t="shared" si="51"/>
        <v xml:space="preserve">No Cumple</v>
      </c>
      <c r="I304" s="9">
        <f t="shared" si="50"/>
        <v>0</v>
      </c>
      <c r="J304" s="9">
        <f t="shared" si="48"/>
        <v>0</v>
      </c>
    </row>
    <row r="305" ht="72">
      <c r="A305" s="24" t="s">
        <v>42</v>
      </c>
      <c r="B305" s="25" t="s">
        <v>168</v>
      </c>
      <c r="C305" s="26" t="s">
        <v>185</v>
      </c>
      <c r="D305" s="25" t="s">
        <v>186</v>
      </c>
      <c r="E305" s="26" t="s">
        <v>189</v>
      </c>
      <c r="F305" s="27" t="s">
        <v>22</v>
      </c>
      <c r="G305" s="28">
        <f t="shared" si="49"/>
        <v>1</v>
      </c>
      <c r="H305" s="9" t="s">
        <v>24</v>
      </c>
      <c r="I305" s="9">
        <f t="shared" si="50"/>
        <v>1</v>
      </c>
      <c r="J305" s="9">
        <f t="shared" si="48"/>
        <v>1</v>
      </c>
    </row>
    <row r="306" ht="54">
      <c r="A306" s="24" t="s">
        <v>42</v>
      </c>
      <c r="B306" s="25" t="s">
        <v>168</v>
      </c>
      <c r="C306" s="26" t="s">
        <v>190</v>
      </c>
      <c r="D306" s="25" t="s">
        <v>191</v>
      </c>
      <c r="E306" s="26" t="s">
        <v>192</v>
      </c>
      <c r="F306" s="27" t="s">
        <v>53</v>
      </c>
      <c r="G306" s="28">
        <f t="shared" si="49"/>
        <v>0</v>
      </c>
      <c r="H306" s="9" t="str">
        <f t="shared" si="51"/>
        <v xml:space="preserve">No Cumple</v>
      </c>
      <c r="I306" s="9">
        <f t="shared" si="50"/>
        <v>0</v>
      </c>
      <c r="J306" s="9">
        <f t="shared" si="48"/>
        <v>0</v>
      </c>
    </row>
    <row r="307" ht="54">
      <c r="A307" s="24" t="s">
        <v>42</v>
      </c>
      <c r="B307" s="25" t="s">
        <v>168</v>
      </c>
      <c r="C307" s="26" t="s">
        <v>190</v>
      </c>
      <c r="D307" s="25" t="s">
        <v>193</v>
      </c>
      <c r="E307" s="26" t="s">
        <v>194</v>
      </c>
      <c r="F307" s="27" t="s">
        <v>22</v>
      </c>
      <c r="G307" s="28">
        <f t="shared" si="49"/>
        <v>1</v>
      </c>
      <c r="H307" s="9" t="s">
        <v>24</v>
      </c>
      <c r="I307" s="9">
        <f t="shared" si="50"/>
        <v>1</v>
      </c>
      <c r="J307" s="9">
        <f t="shared" si="48"/>
        <v>1</v>
      </c>
    </row>
    <row r="308" ht="54">
      <c r="A308" s="24" t="s">
        <v>42</v>
      </c>
      <c r="B308" s="25" t="s">
        <v>168</v>
      </c>
      <c r="C308" s="26" t="s">
        <v>190</v>
      </c>
      <c r="D308" s="25" t="s">
        <v>193</v>
      </c>
      <c r="E308" s="26" t="s">
        <v>195</v>
      </c>
      <c r="F308" s="27" t="s">
        <v>22</v>
      </c>
      <c r="G308" s="28">
        <f t="shared" si="49"/>
        <v>1</v>
      </c>
      <c r="H308" s="9" t="s">
        <v>70</v>
      </c>
      <c r="I308" s="9">
        <f t="shared" si="50"/>
        <v>0.5</v>
      </c>
      <c r="J308" s="9">
        <f t="shared" si="48"/>
        <v>0.75</v>
      </c>
    </row>
    <row r="309" ht="54">
      <c r="A309" s="24" t="s">
        <v>42</v>
      </c>
      <c r="B309" s="25" t="s">
        <v>168</v>
      </c>
      <c r="C309" s="26" t="s">
        <v>196</v>
      </c>
      <c r="D309" s="25" t="s">
        <v>197</v>
      </c>
      <c r="E309" s="26" t="s">
        <v>198</v>
      </c>
      <c r="F309" s="27" t="s">
        <v>22</v>
      </c>
      <c r="G309" s="28">
        <f t="shared" si="49"/>
        <v>1</v>
      </c>
      <c r="H309" s="9" t="s">
        <v>24</v>
      </c>
      <c r="I309" s="9">
        <f t="shared" si="50"/>
        <v>1</v>
      </c>
      <c r="J309" s="9">
        <f t="shared" si="48"/>
        <v>1</v>
      </c>
    </row>
    <row r="310" ht="72">
      <c r="A310" s="24" t="s">
        <v>42</v>
      </c>
      <c r="B310" s="25" t="s">
        <v>168</v>
      </c>
      <c r="C310" s="26" t="s">
        <v>196</v>
      </c>
      <c r="D310" s="25" t="s">
        <v>197</v>
      </c>
      <c r="E310" s="26" t="s">
        <v>199</v>
      </c>
      <c r="F310" s="27" t="s">
        <v>22</v>
      </c>
      <c r="G310" s="28">
        <f t="shared" si="49"/>
        <v>1</v>
      </c>
      <c r="H310" s="9" t="s">
        <v>24</v>
      </c>
      <c r="I310" s="9">
        <f t="shared" si="50"/>
        <v>1</v>
      </c>
      <c r="J310" s="9">
        <f t="shared" si="48"/>
        <v>1</v>
      </c>
    </row>
    <row r="311" ht="72">
      <c r="A311" s="24" t="s">
        <v>42</v>
      </c>
      <c r="B311" s="25" t="s">
        <v>168</v>
      </c>
      <c r="C311" s="26" t="s">
        <v>196</v>
      </c>
      <c r="D311" s="25" t="s">
        <v>197</v>
      </c>
      <c r="E311" s="26" t="s">
        <v>200</v>
      </c>
      <c r="F311" s="27" t="s">
        <v>22</v>
      </c>
      <c r="G311" s="28">
        <f t="shared" si="49"/>
        <v>1</v>
      </c>
      <c r="H311" s="9" t="s">
        <v>24</v>
      </c>
      <c r="I311" s="9">
        <f t="shared" si="50"/>
        <v>1</v>
      </c>
      <c r="J311" s="9">
        <f t="shared" si="48"/>
        <v>1</v>
      </c>
    </row>
    <row r="312" ht="54">
      <c r="A312" s="24" t="s">
        <v>42</v>
      </c>
      <c r="B312" s="25" t="s">
        <v>201</v>
      </c>
      <c r="C312" s="26" t="s">
        <v>202</v>
      </c>
      <c r="D312" s="25" t="s">
        <v>203</v>
      </c>
      <c r="E312" s="26" t="s">
        <v>204</v>
      </c>
      <c r="F312" s="27" t="s">
        <v>22</v>
      </c>
      <c r="G312" s="28">
        <f t="shared" si="49"/>
        <v>1</v>
      </c>
      <c r="H312" s="9" t="s">
        <v>24</v>
      </c>
      <c r="I312" s="9">
        <f t="shared" si="50"/>
        <v>1</v>
      </c>
      <c r="J312" s="9">
        <f t="shared" si="48"/>
        <v>1</v>
      </c>
    </row>
    <row r="313" ht="54">
      <c r="A313" s="24" t="s">
        <v>42</v>
      </c>
      <c r="B313" s="25" t="s">
        <v>201</v>
      </c>
      <c r="C313" s="26" t="s">
        <v>202</v>
      </c>
      <c r="D313" s="25" t="s">
        <v>203</v>
      </c>
      <c r="E313" s="26" t="s">
        <v>205</v>
      </c>
      <c r="F313" s="27" t="s">
        <v>53</v>
      </c>
      <c r="G313" s="28">
        <f t="shared" si="49"/>
        <v>0</v>
      </c>
      <c r="H313" s="9" t="str">
        <f t="shared" si="51"/>
        <v xml:space="preserve">No Cumple</v>
      </c>
      <c r="I313" s="9">
        <f t="shared" si="50"/>
        <v>0</v>
      </c>
      <c r="J313" s="9">
        <f t="shared" si="48"/>
        <v>0</v>
      </c>
    </row>
    <row r="314" ht="72">
      <c r="A314" s="24" t="s">
        <v>42</v>
      </c>
      <c r="B314" s="25" t="s">
        <v>201</v>
      </c>
      <c r="C314" s="26" t="s">
        <v>202</v>
      </c>
      <c r="D314" s="25" t="s">
        <v>203</v>
      </c>
      <c r="E314" s="26" t="s">
        <v>206</v>
      </c>
      <c r="F314" s="27" t="s">
        <v>22</v>
      </c>
      <c r="G314" s="28">
        <f t="shared" si="49"/>
        <v>1</v>
      </c>
      <c r="H314" s="9" t="s">
        <v>24</v>
      </c>
      <c r="I314" s="9">
        <f t="shared" si="50"/>
        <v>1</v>
      </c>
      <c r="J314" s="9">
        <f t="shared" si="48"/>
        <v>1</v>
      </c>
    </row>
    <row r="315" ht="72">
      <c r="A315" s="24" t="s">
        <v>42</v>
      </c>
      <c r="B315" s="25" t="s">
        <v>201</v>
      </c>
      <c r="C315" s="26" t="s">
        <v>207</v>
      </c>
      <c r="D315" s="25" t="s">
        <v>208</v>
      </c>
      <c r="E315" s="26" t="s">
        <v>209</v>
      </c>
      <c r="F315" s="27" t="s">
        <v>22</v>
      </c>
      <c r="G315" s="28">
        <f t="shared" si="49"/>
        <v>1</v>
      </c>
      <c r="H315" s="9" t="s">
        <v>24</v>
      </c>
      <c r="I315" s="9">
        <f t="shared" si="50"/>
        <v>1</v>
      </c>
      <c r="J315" s="9">
        <f t="shared" si="48"/>
        <v>1</v>
      </c>
    </row>
    <row r="316" ht="108">
      <c r="A316" s="24" t="s">
        <v>42</v>
      </c>
      <c r="B316" s="25" t="s">
        <v>201</v>
      </c>
      <c r="C316" s="26" t="s">
        <v>207</v>
      </c>
      <c r="D316" s="25" t="s">
        <v>208</v>
      </c>
      <c r="E316" s="26" t="s">
        <v>210</v>
      </c>
      <c r="F316" s="27" t="s">
        <v>22</v>
      </c>
      <c r="G316" s="28">
        <f t="shared" si="49"/>
        <v>1</v>
      </c>
      <c r="H316" s="9" t="s">
        <v>70</v>
      </c>
      <c r="I316" s="9">
        <f t="shared" si="50"/>
        <v>0.5</v>
      </c>
      <c r="J316" s="9">
        <f t="shared" si="48"/>
        <v>0.75</v>
      </c>
    </row>
    <row r="317" ht="90">
      <c r="A317" s="24" t="s">
        <v>42</v>
      </c>
      <c r="B317" s="25" t="s">
        <v>201</v>
      </c>
      <c r="C317" s="26" t="s">
        <v>207</v>
      </c>
      <c r="D317" s="25" t="s">
        <v>208</v>
      </c>
      <c r="E317" s="26" t="s">
        <v>211</v>
      </c>
      <c r="F317" s="27" t="s">
        <v>53</v>
      </c>
      <c r="G317" s="28">
        <f t="shared" si="49"/>
        <v>0</v>
      </c>
      <c r="H317" s="9" t="str">
        <f t="shared" si="51"/>
        <v xml:space="preserve">No Cumple</v>
      </c>
      <c r="I317" s="9">
        <f t="shared" si="50"/>
        <v>0</v>
      </c>
      <c r="J317" s="9">
        <f t="shared" si="48"/>
        <v>0</v>
      </c>
    </row>
    <row r="318" ht="90">
      <c r="A318" s="24" t="s">
        <v>42</v>
      </c>
      <c r="B318" s="25" t="s">
        <v>201</v>
      </c>
      <c r="C318" s="26" t="s">
        <v>212</v>
      </c>
      <c r="D318" s="25" t="s">
        <v>213</v>
      </c>
      <c r="E318" s="26" t="s">
        <v>214</v>
      </c>
      <c r="F318" s="27" t="s">
        <v>22</v>
      </c>
      <c r="G318" s="28">
        <f t="shared" si="49"/>
        <v>1</v>
      </c>
      <c r="H318" s="9" t="s">
        <v>24</v>
      </c>
      <c r="I318" s="9">
        <f t="shared" si="50"/>
        <v>1</v>
      </c>
      <c r="J318" s="9">
        <f t="shared" si="48"/>
        <v>1</v>
      </c>
    </row>
    <row r="319" ht="90">
      <c r="A319" s="24" t="s">
        <v>42</v>
      </c>
      <c r="B319" s="25" t="s">
        <v>201</v>
      </c>
      <c r="C319" s="26" t="s">
        <v>212</v>
      </c>
      <c r="D319" s="25" t="s">
        <v>213</v>
      </c>
      <c r="E319" s="26" t="s">
        <v>215</v>
      </c>
      <c r="F319" s="27" t="s">
        <v>53</v>
      </c>
      <c r="G319" s="28">
        <f t="shared" si="49"/>
        <v>0</v>
      </c>
      <c r="H319" s="9" t="str">
        <f t="shared" si="51"/>
        <v xml:space="preserve">No Cumple</v>
      </c>
      <c r="I319" s="9">
        <f t="shared" si="50"/>
        <v>0</v>
      </c>
      <c r="J319" s="9">
        <f t="shared" si="48"/>
        <v>0</v>
      </c>
    </row>
    <row r="320" ht="90">
      <c r="A320" s="24" t="s">
        <v>42</v>
      </c>
      <c r="B320" s="25" t="s">
        <v>201</v>
      </c>
      <c r="C320" s="26" t="s">
        <v>212</v>
      </c>
      <c r="D320" s="25" t="s">
        <v>213</v>
      </c>
      <c r="E320" s="26" t="s">
        <v>216</v>
      </c>
      <c r="F320" s="27" t="s">
        <v>22</v>
      </c>
      <c r="G320" s="28">
        <f t="shared" si="49"/>
        <v>1</v>
      </c>
      <c r="H320" s="9" t="s">
        <v>24</v>
      </c>
      <c r="I320" s="9">
        <f t="shared" si="50"/>
        <v>1</v>
      </c>
      <c r="J320" s="9">
        <f t="shared" si="48"/>
        <v>1</v>
      </c>
    </row>
    <row r="321" ht="90">
      <c r="A321" s="24" t="s">
        <v>42</v>
      </c>
      <c r="B321" s="25" t="s">
        <v>201</v>
      </c>
      <c r="C321" s="26" t="s">
        <v>217</v>
      </c>
      <c r="D321" s="25" t="s">
        <v>218</v>
      </c>
      <c r="E321" s="26" t="s">
        <v>219</v>
      </c>
      <c r="F321" s="27" t="s">
        <v>22</v>
      </c>
      <c r="G321" s="28">
        <f t="shared" si="49"/>
        <v>1</v>
      </c>
      <c r="H321" s="9" t="s">
        <v>24</v>
      </c>
      <c r="I321" s="9">
        <f t="shared" si="50"/>
        <v>1</v>
      </c>
      <c r="J321" s="9">
        <f t="shared" si="48"/>
        <v>1</v>
      </c>
    </row>
    <row r="322" ht="72">
      <c r="A322" s="24" t="s">
        <v>42</v>
      </c>
      <c r="B322" s="25" t="s">
        <v>201</v>
      </c>
      <c r="C322" s="26" t="s">
        <v>217</v>
      </c>
      <c r="D322" s="25" t="s">
        <v>218</v>
      </c>
      <c r="E322" s="26" t="s">
        <v>220</v>
      </c>
      <c r="F322" s="27" t="s">
        <v>53</v>
      </c>
      <c r="G322" s="28">
        <f t="shared" si="49"/>
        <v>0</v>
      </c>
      <c r="H322" s="9" t="str">
        <f t="shared" si="51"/>
        <v xml:space="preserve">No Cumple</v>
      </c>
      <c r="I322" s="9">
        <f t="shared" si="50"/>
        <v>0</v>
      </c>
      <c r="J322" s="9">
        <f t="shared" ref="J322:J323" si="52">AVERAGE(G322,I322)</f>
        <v>0</v>
      </c>
    </row>
    <row r="323" ht="54">
      <c r="A323" s="24" t="s">
        <v>42</v>
      </c>
      <c r="B323" s="25" t="s">
        <v>201</v>
      </c>
      <c r="C323" s="26" t="s">
        <v>217</v>
      </c>
      <c r="D323" s="25" t="s">
        <v>218</v>
      </c>
      <c r="E323" s="26" t="s">
        <v>221</v>
      </c>
      <c r="F323" s="27" t="s">
        <v>22</v>
      </c>
      <c r="G323" s="28">
        <f t="shared" ref="G323" si="53">IF(F323="Cumple",1,IF(F323="Cumple Parcialmente",0.5,IF(F323="No Cumple",0,"")))</f>
        <v>1</v>
      </c>
      <c r="H323" s="9" t="s">
        <v>95</v>
      </c>
      <c r="I323" s="9">
        <f t="shared" ref="I323" si="54">IF(H323="Cumple",1,IF(H323="Cumple Parcialmente",0.5,IF(H323="No Cumple",0,"")))</f>
        <v>0.5</v>
      </c>
      <c r="J323" s="9">
        <f t="shared" si="52"/>
        <v>0.75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selection activeCell="J3" activeCellId="0" sqref="J3:J9"/>
    </sheetView>
  </sheetViews>
  <sheetFormatPr baseColWidth="10" defaultRowHeight="15"/>
  <cols>
    <col customWidth="1" min="2" max="2" width="42.85546875"/>
    <col customWidth="1" min="3" max="3" width="34.28515625"/>
    <col customWidth="1" min="4" max="4" width="45.5703125"/>
    <col customWidth="1" min="5" max="5" width="116.5703125"/>
    <col customWidth="1" min="6" max="6" width="25.42578125"/>
    <col customWidth="1" min="7" max="7" width="18.5703125"/>
    <col customWidth="1" min="8" max="8" width="20.7109375"/>
    <col customWidth="1" min="9" max="9" width="13.85546875"/>
    <col customWidth="1" min="10" max="10" width="15.140625"/>
  </cols>
  <sheetData>
    <row r="3" ht="36">
      <c r="A3" s="29" t="s">
        <v>0</v>
      </c>
      <c r="B3" s="30" t="s">
        <v>1</v>
      </c>
      <c r="C3" s="30" t="s">
        <v>2</v>
      </c>
      <c r="D3" s="30" t="s">
        <v>3</v>
      </c>
      <c r="E3" s="30" t="s">
        <v>4</v>
      </c>
      <c r="F3" s="30" t="s">
        <v>5</v>
      </c>
      <c r="G3" s="30" t="s">
        <v>141</v>
      </c>
      <c r="H3" s="30" t="s">
        <v>142</v>
      </c>
      <c r="I3" s="30" t="s">
        <v>8</v>
      </c>
      <c r="J3" s="30" t="s">
        <v>143</v>
      </c>
      <c r="L3" s="4" t="s">
        <v>10</v>
      </c>
      <c r="M3" s="4" t="s">
        <v>11</v>
      </c>
      <c r="N3" s="4" t="s">
        <v>12</v>
      </c>
      <c r="O3" s="4" t="s">
        <v>13</v>
      </c>
      <c r="P3" s="4" t="s">
        <v>14</v>
      </c>
      <c r="Q3" s="4" t="s">
        <v>15</v>
      </c>
      <c r="R3" s="4" t="s">
        <v>16</v>
      </c>
    </row>
    <row r="4" ht="54">
      <c r="A4" s="31" t="s">
        <v>17</v>
      </c>
      <c r="B4" s="32" t="s">
        <v>222</v>
      </c>
      <c r="C4" s="33" t="s">
        <v>223</v>
      </c>
      <c r="D4" s="32" t="s">
        <v>224</v>
      </c>
      <c r="E4" s="33" t="s">
        <v>225</v>
      </c>
      <c r="F4" s="34" t="s">
        <v>70</v>
      </c>
      <c r="G4" s="35">
        <f t="shared" ref="G4:G67" si="55">IF(F4="Cumple",1,IF(F4="Cumple Parcialmente",0.5,IF(F4="No Cumple",0,"")))</f>
        <v>0.5</v>
      </c>
      <c r="H4" t="s">
        <v>70</v>
      </c>
      <c r="I4" s="9">
        <f t="shared" ref="I4:I67" si="56">IF(H4="Cumple",1,IF(H4="Cumple Parcialmente",0.5,IF(H4="No Cumple",0,"")))</f>
        <v>0.5</v>
      </c>
      <c r="J4" s="9">
        <f t="shared" ref="J4:J67" si="57">AVERAGE(G4,I4)</f>
        <v>0.5</v>
      </c>
      <c r="L4" s="10" t="s">
        <v>17</v>
      </c>
      <c r="M4" s="10">
        <f>SUM(G4:G59)</f>
        <v>20.5</v>
      </c>
      <c r="N4" s="10">
        <f t="shared" ref="N4:N10" si="58">ROUND((M4/56)*100,2)</f>
        <v>36.609999999999999</v>
      </c>
      <c r="O4" s="10">
        <f>SUM(I4:I59)</f>
        <v>21</v>
      </c>
      <c r="P4" s="10">
        <f t="shared" ref="P4:P10" si="59">ROUND((O4/56)*100,2)</f>
        <v>37.5</v>
      </c>
      <c r="Q4" s="11">
        <f t="shared" ref="Q4:Q9" si="60">AVERAGE(M4,O4)</f>
        <v>20.75</v>
      </c>
      <c r="R4" s="12">
        <f t="shared" ref="R4:R10" si="61">ROUND((Q4/56)*100,2)</f>
        <v>37.049999999999997</v>
      </c>
    </row>
    <row r="5" ht="36">
      <c r="A5" s="31" t="s">
        <v>17</v>
      </c>
      <c r="B5" s="32" t="s">
        <v>222</v>
      </c>
      <c r="C5" s="33" t="s">
        <v>223</v>
      </c>
      <c r="D5" s="32" t="s">
        <v>224</v>
      </c>
      <c r="E5" s="33" t="s">
        <v>226</v>
      </c>
      <c r="F5" s="34" t="s">
        <v>70</v>
      </c>
      <c r="G5" s="35">
        <f t="shared" si="55"/>
        <v>0.5</v>
      </c>
      <c r="H5" t="s">
        <v>70</v>
      </c>
      <c r="I5" s="9">
        <f t="shared" si="56"/>
        <v>0.5</v>
      </c>
      <c r="J5" s="9">
        <f t="shared" si="57"/>
        <v>0.5</v>
      </c>
      <c r="L5" s="10" t="s">
        <v>25</v>
      </c>
      <c r="M5" s="10">
        <f>SUM(G60:G115)</f>
        <v>18.5</v>
      </c>
      <c r="N5" s="10">
        <f t="shared" si="58"/>
        <v>33.039999999999999</v>
      </c>
      <c r="O5" s="10">
        <f>SUM(I15:I60)</f>
        <v>16</v>
      </c>
      <c r="P5" s="10">
        <f t="shared" si="59"/>
        <v>28.57</v>
      </c>
      <c r="Q5" s="11">
        <f t="shared" si="60"/>
        <v>17.25</v>
      </c>
      <c r="R5" s="12">
        <f t="shared" si="61"/>
        <v>30.800000000000001</v>
      </c>
    </row>
    <row r="6" ht="72">
      <c r="A6" s="31" t="s">
        <v>17</v>
      </c>
      <c r="B6" s="32" t="s">
        <v>222</v>
      </c>
      <c r="C6" s="33" t="s">
        <v>223</v>
      </c>
      <c r="D6" s="32" t="s">
        <v>224</v>
      </c>
      <c r="E6" s="33" t="s">
        <v>227</v>
      </c>
      <c r="F6" s="34" t="s">
        <v>53</v>
      </c>
      <c r="G6" s="35">
        <f t="shared" si="55"/>
        <v>0</v>
      </c>
      <c r="H6" t="s">
        <v>53</v>
      </c>
      <c r="I6" s="9">
        <f t="shared" si="56"/>
        <v>0</v>
      </c>
      <c r="J6" s="9">
        <f t="shared" si="57"/>
        <v>0</v>
      </c>
      <c r="L6" s="10" t="s">
        <v>29</v>
      </c>
      <c r="M6" s="10">
        <f>SUM(G116:G171)</f>
        <v>42</v>
      </c>
      <c r="N6" s="10">
        <f t="shared" si="58"/>
        <v>75</v>
      </c>
      <c r="O6" s="10">
        <f>SUM(I116:I171)</f>
        <v>41.5</v>
      </c>
      <c r="P6" s="10">
        <f t="shared" si="59"/>
        <v>74.109999999999999</v>
      </c>
      <c r="Q6" s="11">
        <f t="shared" si="60"/>
        <v>41.75</v>
      </c>
      <c r="R6" s="12">
        <f t="shared" si="61"/>
        <v>74.549999999999997</v>
      </c>
    </row>
    <row r="7" ht="72">
      <c r="A7" s="31" t="s">
        <v>17</v>
      </c>
      <c r="B7" s="32" t="s">
        <v>222</v>
      </c>
      <c r="C7" s="33" t="s">
        <v>228</v>
      </c>
      <c r="D7" s="32" t="s">
        <v>229</v>
      </c>
      <c r="E7" s="33" t="s">
        <v>230</v>
      </c>
      <c r="F7" s="34" t="s">
        <v>22</v>
      </c>
      <c r="G7" s="35">
        <f t="shared" si="55"/>
        <v>1</v>
      </c>
      <c r="H7" t="s">
        <v>22</v>
      </c>
      <c r="I7" s="9">
        <f t="shared" si="56"/>
        <v>1</v>
      </c>
      <c r="J7" s="9">
        <f t="shared" si="57"/>
        <v>1</v>
      </c>
      <c r="L7" s="10" t="s">
        <v>32</v>
      </c>
      <c r="M7" s="10">
        <f>SUM(G172:G227)</f>
        <v>38</v>
      </c>
      <c r="N7" s="10">
        <f t="shared" si="58"/>
        <v>67.859999999999999</v>
      </c>
      <c r="O7" s="10">
        <f>SUM(I172:I227)</f>
        <v>35</v>
      </c>
      <c r="P7" s="10">
        <f t="shared" si="59"/>
        <v>62.5</v>
      </c>
      <c r="Q7" s="11">
        <f t="shared" si="60"/>
        <v>36.5</v>
      </c>
      <c r="R7" s="12">
        <f t="shared" si="61"/>
        <v>65.180000000000007</v>
      </c>
    </row>
    <row r="8" ht="72">
      <c r="A8" s="31" t="s">
        <v>17</v>
      </c>
      <c r="B8" s="32" t="s">
        <v>222</v>
      </c>
      <c r="C8" s="33" t="s">
        <v>228</v>
      </c>
      <c r="D8" s="32" t="s">
        <v>229</v>
      </c>
      <c r="E8" s="33" t="s">
        <v>231</v>
      </c>
      <c r="F8" s="34" t="s">
        <v>70</v>
      </c>
      <c r="G8" s="35">
        <f t="shared" si="55"/>
        <v>0.5</v>
      </c>
      <c r="H8" t="s">
        <v>70</v>
      </c>
      <c r="I8" s="9">
        <f t="shared" si="56"/>
        <v>0.5</v>
      </c>
      <c r="J8" s="9">
        <f t="shared" si="57"/>
        <v>0.5</v>
      </c>
      <c r="L8" s="10" t="s">
        <v>36</v>
      </c>
      <c r="M8" s="10">
        <f>SUM(G228:G283)</f>
        <v>31</v>
      </c>
      <c r="N8" s="10">
        <f t="shared" si="58"/>
        <v>55.359999999999999</v>
      </c>
      <c r="O8" s="10">
        <f>SUM(I228:I283)</f>
        <v>25</v>
      </c>
      <c r="P8" s="10">
        <f t="shared" si="59"/>
        <v>44.640000000000001</v>
      </c>
      <c r="Q8" s="11">
        <f t="shared" si="60"/>
        <v>28</v>
      </c>
      <c r="R8" s="12">
        <f t="shared" si="61"/>
        <v>50</v>
      </c>
    </row>
    <row r="9" ht="72">
      <c r="A9" s="31" t="s">
        <v>17</v>
      </c>
      <c r="B9" s="32" t="s">
        <v>222</v>
      </c>
      <c r="C9" s="33" t="s">
        <v>232</v>
      </c>
      <c r="D9" s="32" t="s">
        <v>233</v>
      </c>
      <c r="E9" s="33" t="s">
        <v>234</v>
      </c>
      <c r="F9" s="34" t="s">
        <v>22</v>
      </c>
      <c r="G9" s="35">
        <f t="shared" si="55"/>
        <v>1</v>
      </c>
      <c r="H9" t="s">
        <v>22</v>
      </c>
      <c r="I9" s="9">
        <f t="shared" si="56"/>
        <v>1</v>
      </c>
      <c r="J9" s="9">
        <f t="shared" si="57"/>
        <v>1</v>
      </c>
      <c r="L9" s="10" t="s">
        <v>38</v>
      </c>
      <c r="M9" s="10">
        <f>SUM(G284:G339)</f>
        <v>35.5</v>
      </c>
      <c r="N9" s="10">
        <f t="shared" si="58"/>
        <v>63.390000000000001</v>
      </c>
      <c r="O9" s="10">
        <f>SUM(I284:I339)</f>
        <v>24.5</v>
      </c>
      <c r="P9" s="10">
        <f t="shared" si="59"/>
        <v>43.75</v>
      </c>
      <c r="Q9" s="11">
        <f t="shared" si="60"/>
        <v>30</v>
      </c>
      <c r="R9" s="12">
        <f t="shared" si="61"/>
        <v>53.57</v>
      </c>
    </row>
    <row r="10" ht="72">
      <c r="A10" s="31" t="s">
        <v>17</v>
      </c>
      <c r="B10" s="32" t="s">
        <v>222</v>
      </c>
      <c r="C10" s="33" t="s">
        <v>232</v>
      </c>
      <c r="D10" s="32" t="s">
        <v>233</v>
      </c>
      <c r="E10" s="33" t="s">
        <v>235</v>
      </c>
      <c r="F10" s="34" t="s">
        <v>70</v>
      </c>
      <c r="G10" s="35">
        <f t="shared" si="55"/>
        <v>0.5</v>
      </c>
      <c r="H10" t="s">
        <v>70</v>
      </c>
      <c r="I10" s="9">
        <f t="shared" si="56"/>
        <v>0.5</v>
      </c>
      <c r="J10" s="9">
        <f t="shared" si="57"/>
        <v>0.5</v>
      </c>
      <c r="L10" s="10" t="s">
        <v>42</v>
      </c>
      <c r="M10" s="10">
        <f>SUM(G340:G395)</f>
        <v>29</v>
      </c>
      <c r="N10" s="10">
        <f t="shared" si="58"/>
        <v>51.789999999999999</v>
      </c>
      <c r="O10" s="10">
        <f>SUM(I340:I395)</f>
        <v>24.5</v>
      </c>
      <c r="P10" s="10">
        <f t="shared" si="59"/>
        <v>43.75</v>
      </c>
      <c r="Q10" s="11">
        <f>AVERAGE(M10,O10)</f>
        <v>26.75</v>
      </c>
      <c r="R10" s="12">
        <f t="shared" si="61"/>
        <v>47.770000000000003</v>
      </c>
    </row>
    <row r="11" ht="72">
      <c r="A11" s="31" t="s">
        <v>17</v>
      </c>
      <c r="B11" s="32" t="s">
        <v>222</v>
      </c>
      <c r="C11" s="33" t="s">
        <v>232</v>
      </c>
      <c r="D11" s="32" t="s">
        <v>233</v>
      </c>
      <c r="E11" s="33" t="s">
        <v>236</v>
      </c>
      <c r="F11" s="34" t="s">
        <v>22</v>
      </c>
      <c r="G11" s="35">
        <f t="shared" si="55"/>
        <v>1</v>
      </c>
      <c r="H11" t="s">
        <v>22</v>
      </c>
      <c r="I11" s="9">
        <f t="shared" si="56"/>
        <v>1</v>
      </c>
      <c r="J11" s="9">
        <f t="shared" si="57"/>
        <v>1</v>
      </c>
    </row>
    <row r="12" ht="72">
      <c r="A12" s="31" t="s">
        <v>17</v>
      </c>
      <c r="B12" s="32" t="s">
        <v>222</v>
      </c>
      <c r="C12" s="33" t="s">
        <v>237</v>
      </c>
      <c r="D12" s="32" t="s">
        <v>238</v>
      </c>
      <c r="E12" s="33" t="s">
        <v>239</v>
      </c>
      <c r="F12" s="34" t="s">
        <v>53</v>
      </c>
      <c r="G12" s="35">
        <f t="shared" si="55"/>
        <v>0</v>
      </c>
      <c r="H12" t="s">
        <v>53</v>
      </c>
      <c r="I12" s="9">
        <f t="shared" si="56"/>
        <v>0</v>
      </c>
      <c r="J12" s="9">
        <f t="shared" si="57"/>
        <v>0</v>
      </c>
    </row>
    <row r="13" ht="54">
      <c r="A13" s="31" t="s">
        <v>17</v>
      </c>
      <c r="B13" s="32" t="s">
        <v>222</v>
      </c>
      <c r="C13" s="33" t="s">
        <v>237</v>
      </c>
      <c r="D13" s="32" t="s">
        <v>238</v>
      </c>
      <c r="E13" s="33" t="s">
        <v>240</v>
      </c>
      <c r="F13" s="34" t="s">
        <v>53</v>
      </c>
      <c r="G13" s="35">
        <f t="shared" si="55"/>
        <v>0</v>
      </c>
      <c r="H13" t="s">
        <v>53</v>
      </c>
      <c r="I13" s="9">
        <f t="shared" si="56"/>
        <v>0</v>
      </c>
      <c r="J13" s="9">
        <f t="shared" si="57"/>
        <v>0</v>
      </c>
    </row>
    <row r="14" ht="54">
      <c r="A14" s="31" t="s">
        <v>17</v>
      </c>
      <c r="B14" s="32" t="s">
        <v>222</v>
      </c>
      <c r="C14" s="33" t="s">
        <v>241</v>
      </c>
      <c r="D14" s="32" t="s">
        <v>242</v>
      </c>
      <c r="E14" s="33" t="s">
        <v>243</v>
      </c>
      <c r="F14" s="34" t="s">
        <v>22</v>
      </c>
      <c r="G14" s="35">
        <f t="shared" si="55"/>
        <v>1</v>
      </c>
      <c r="H14" t="s">
        <v>22</v>
      </c>
      <c r="I14" s="9">
        <f t="shared" si="56"/>
        <v>1</v>
      </c>
      <c r="J14" s="9">
        <f t="shared" si="57"/>
        <v>1</v>
      </c>
    </row>
    <row r="15" ht="54">
      <c r="A15" s="31" t="s">
        <v>17</v>
      </c>
      <c r="B15" s="32" t="s">
        <v>222</v>
      </c>
      <c r="C15" s="33" t="s">
        <v>241</v>
      </c>
      <c r="D15" s="32" t="s">
        <v>242</v>
      </c>
      <c r="E15" s="33" t="s">
        <v>244</v>
      </c>
      <c r="F15" s="34" t="s">
        <v>22</v>
      </c>
      <c r="G15" s="35">
        <f t="shared" si="55"/>
        <v>1</v>
      </c>
      <c r="H15" t="s">
        <v>22</v>
      </c>
      <c r="I15" s="9">
        <f t="shared" si="56"/>
        <v>1</v>
      </c>
      <c r="J15" s="9">
        <f t="shared" si="57"/>
        <v>1</v>
      </c>
    </row>
    <row r="16" ht="72">
      <c r="A16" s="31" t="s">
        <v>17</v>
      </c>
      <c r="B16" s="32" t="s">
        <v>222</v>
      </c>
      <c r="C16" s="33" t="s">
        <v>241</v>
      </c>
      <c r="D16" s="32" t="s">
        <v>242</v>
      </c>
      <c r="E16" s="33" t="s">
        <v>245</v>
      </c>
      <c r="F16" s="34" t="s">
        <v>70</v>
      </c>
      <c r="G16" s="35">
        <f t="shared" si="55"/>
        <v>0.5</v>
      </c>
      <c r="H16" t="s">
        <v>70</v>
      </c>
      <c r="I16" s="9">
        <f t="shared" si="56"/>
        <v>0.5</v>
      </c>
      <c r="J16" s="9">
        <f t="shared" si="57"/>
        <v>0.5</v>
      </c>
    </row>
    <row r="17" ht="72">
      <c r="A17" s="31" t="s">
        <v>17</v>
      </c>
      <c r="B17" s="32" t="s">
        <v>246</v>
      </c>
      <c r="C17" s="33" t="s">
        <v>247</v>
      </c>
      <c r="D17" s="32" t="s">
        <v>248</v>
      </c>
      <c r="E17" s="33" t="s">
        <v>249</v>
      </c>
      <c r="F17" s="34" t="s">
        <v>22</v>
      </c>
      <c r="G17" s="35">
        <f t="shared" si="55"/>
        <v>1</v>
      </c>
      <c r="H17" t="s">
        <v>22</v>
      </c>
      <c r="I17" s="9">
        <f t="shared" si="56"/>
        <v>1</v>
      </c>
      <c r="J17" s="9">
        <f t="shared" si="57"/>
        <v>1</v>
      </c>
    </row>
    <row r="18" ht="54">
      <c r="A18" s="31" t="s">
        <v>17</v>
      </c>
      <c r="B18" s="32" t="s">
        <v>246</v>
      </c>
      <c r="C18" s="33" t="s">
        <v>247</v>
      </c>
      <c r="D18" s="32" t="s">
        <v>248</v>
      </c>
      <c r="E18" s="33" t="s">
        <v>250</v>
      </c>
      <c r="F18" s="34" t="s">
        <v>53</v>
      </c>
      <c r="G18" s="35">
        <f t="shared" si="55"/>
        <v>0</v>
      </c>
      <c r="H18" t="s">
        <v>53</v>
      </c>
      <c r="I18" s="9">
        <f t="shared" si="56"/>
        <v>0</v>
      </c>
      <c r="J18" s="9">
        <f t="shared" si="57"/>
        <v>0</v>
      </c>
    </row>
    <row r="19" ht="72">
      <c r="A19" s="31" t="s">
        <v>17</v>
      </c>
      <c r="B19" s="32" t="s">
        <v>246</v>
      </c>
      <c r="C19" s="33" t="s">
        <v>251</v>
      </c>
      <c r="D19" s="32" t="s">
        <v>252</v>
      </c>
      <c r="E19" s="33" t="s">
        <v>253</v>
      </c>
      <c r="F19" s="34" t="s">
        <v>70</v>
      </c>
      <c r="G19" s="35">
        <f t="shared" si="55"/>
        <v>0.5</v>
      </c>
      <c r="H19" t="s">
        <v>70</v>
      </c>
      <c r="I19" s="9">
        <f t="shared" si="56"/>
        <v>0.5</v>
      </c>
      <c r="J19" s="9">
        <f t="shared" si="57"/>
        <v>0.5</v>
      </c>
    </row>
    <row r="20" ht="72">
      <c r="A20" s="31" t="s">
        <v>17</v>
      </c>
      <c r="B20" s="32" t="s">
        <v>246</v>
      </c>
      <c r="C20" s="33" t="s">
        <v>251</v>
      </c>
      <c r="D20" s="32" t="s">
        <v>252</v>
      </c>
      <c r="E20" s="33" t="s">
        <v>254</v>
      </c>
      <c r="F20" s="34" t="s">
        <v>53</v>
      </c>
      <c r="G20" s="35">
        <f t="shared" si="55"/>
        <v>0</v>
      </c>
      <c r="H20" t="s">
        <v>53</v>
      </c>
      <c r="I20" s="9">
        <f t="shared" si="56"/>
        <v>0</v>
      </c>
      <c r="J20" s="9">
        <f t="shared" si="57"/>
        <v>0</v>
      </c>
    </row>
    <row r="21" ht="54">
      <c r="A21" s="31" t="s">
        <v>17</v>
      </c>
      <c r="B21" s="32" t="s">
        <v>246</v>
      </c>
      <c r="C21" s="33" t="s">
        <v>251</v>
      </c>
      <c r="D21" s="32" t="s">
        <v>252</v>
      </c>
      <c r="E21" s="33" t="s">
        <v>255</v>
      </c>
      <c r="F21" s="34" t="s">
        <v>70</v>
      </c>
      <c r="G21" s="35">
        <f t="shared" si="55"/>
        <v>0.5</v>
      </c>
      <c r="H21" t="s">
        <v>70</v>
      </c>
      <c r="I21" s="9">
        <f t="shared" si="56"/>
        <v>0.5</v>
      </c>
      <c r="J21" s="9">
        <f t="shared" si="57"/>
        <v>0.5</v>
      </c>
    </row>
    <row r="22" ht="72">
      <c r="A22" s="31" t="s">
        <v>17</v>
      </c>
      <c r="B22" s="32" t="s">
        <v>246</v>
      </c>
      <c r="C22" s="33" t="s">
        <v>256</v>
      </c>
      <c r="D22" s="32" t="s">
        <v>257</v>
      </c>
      <c r="E22" s="33" t="s">
        <v>258</v>
      </c>
      <c r="F22" s="34" t="s">
        <v>70</v>
      </c>
      <c r="G22" s="35">
        <f t="shared" si="55"/>
        <v>0.5</v>
      </c>
      <c r="H22" t="s">
        <v>70</v>
      </c>
      <c r="I22" s="9">
        <f t="shared" si="56"/>
        <v>0.5</v>
      </c>
      <c r="J22" s="9">
        <f t="shared" si="57"/>
        <v>0.5</v>
      </c>
    </row>
    <row r="23" ht="72">
      <c r="A23" s="31" t="s">
        <v>17</v>
      </c>
      <c r="B23" s="32" t="s">
        <v>246</v>
      </c>
      <c r="C23" s="33" t="s">
        <v>256</v>
      </c>
      <c r="D23" s="32" t="s">
        <v>257</v>
      </c>
      <c r="E23" s="33" t="s">
        <v>259</v>
      </c>
      <c r="F23" s="34" t="s">
        <v>53</v>
      </c>
      <c r="G23" s="35">
        <f t="shared" si="55"/>
        <v>0</v>
      </c>
      <c r="H23" t="s">
        <v>53</v>
      </c>
      <c r="I23" s="9">
        <f t="shared" si="56"/>
        <v>0</v>
      </c>
      <c r="J23" s="9">
        <f t="shared" si="57"/>
        <v>0</v>
      </c>
    </row>
    <row r="24" ht="54">
      <c r="A24" s="31" t="s">
        <v>17</v>
      </c>
      <c r="B24" s="32" t="s">
        <v>260</v>
      </c>
      <c r="C24" s="33" t="s">
        <v>261</v>
      </c>
      <c r="D24" s="32" t="s">
        <v>262</v>
      </c>
      <c r="E24" s="33" t="s">
        <v>263</v>
      </c>
      <c r="F24" s="34" t="s">
        <v>70</v>
      </c>
      <c r="G24" s="35">
        <f t="shared" si="55"/>
        <v>0.5</v>
      </c>
      <c r="H24" t="s">
        <v>70</v>
      </c>
      <c r="I24" s="9">
        <f t="shared" si="56"/>
        <v>0.5</v>
      </c>
      <c r="J24" s="9">
        <f t="shared" si="57"/>
        <v>0.5</v>
      </c>
    </row>
    <row r="25" ht="54">
      <c r="A25" s="31" t="s">
        <v>17</v>
      </c>
      <c r="B25" s="32" t="s">
        <v>260</v>
      </c>
      <c r="C25" s="33" t="s">
        <v>261</v>
      </c>
      <c r="D25" s="32" t="s">
        <v>262</v>
      </c>
      <c r="E25" s="33" t="s">
        <v>264</v>
      </c>
      <c r="F25" s="34" t="s">
        <v>53</v>
      </c>
      <c r="G25" s="35">
        <f t="shared" si="55"/>
        <v>0</v>
      </c>
      <c r="H25" t="s">
        <v>53</v>
      </c>
      <c r="I25" s="9">
        <f t="shared" si="56"/>
        <v>0</v>
      </c>
      <c r="J25" s="9">
        <f t="shared" si="57"/>
        <v>0</v>
      </c>
    </row>
    <row r="26" ht="54">
      <c r="A26" s="31" t="s">
        <v>17</v>
      </c>
      <c r="B26" s="32" t="s">
        <v>260</v>
      </c>
      <c r="C26" s="33" t="s">
        <v>261</v>
      </c>
      <c r="D26" s="32" t="s">
        <v>262</v>
      </c>
      <c r="E26" s="33" t="s">
        <v>265</v>
      </c>
      <c r="F26" s="34" t="s">
        <v>53</v>
      </c>
      <c r="G26" s="35">
        <f t="shared" si="55"/>
        <v>0</v>
      </c>
      <c r="H26" t="s">
        <v>53</v>
      </c>
      <c r="I26" s="9">
        <f t="shared" si="56"/>
        <v>0</v>
      </c>
      <c r="J26" s="9">
        <f t="shared" si="57"/>
        <v>0</v>
      </c>
    </row>
    <row r="27" ht="72">
      <c r="A27" s="31" t="s">
        <v>17</v>
      </c>
      <c r="B27" s="32" t="s">
        <v>260</v>
      </c>
      <c r="C27" s="32" t="s">
        <v>266</v>
      </c>
      <c r="D27" s="33" t="s">
        <v>267</v>
      </c>
      <c r="E27" s="33" t="s">
        <v>268</v>
      </c>
      <c r="F27" s="34" t="s">
        <v>70</v>
      </c>
      <c r="G27" s="35">
        <f t="shared" si="55"/>
        <v>0.5</v>
      </c>
      <c r="H27" t="s">
        <v>70</v>
      </c>
      <c r="I27" s="9">
        <f t="shared" si="56"/>
        <v>0.5</v>
      </c>
      <c r="J27" s="9">
        <f t="shared" si="57"/>
        <v>0.5</v>
      </c>
    </row>
    <row r="28" ht="72">
      <c r="A28" s="31" t="s">
        <v>17</v>
      </c>
      <c r="B28" s="32" t="s">
        <v>260</v>
      </c>
      <c r="C28" s="32" t="s">
        <v>266</v>
      </c>
      <c r="D28" s="33" t="s">
        <v>267</v>
      </c>
      <c r="E28" s="33" t="s">
        <v>269</v>
      </c>
      <c r="F28" s="34" t="s">
        <v>70</v>
      </c>
      <c r="G28" s="35">
        <f t="shared" si="55"/>
        <v>0.5</v>
      </c>
      <c r="H28" t="s">
        <v>70</v>
      </c>
      <c r="I28" s="9">
        <f t="shared" si="56"/>
        <v>0.5</v>
      </c>
      <c r="J28" s="9">
        <f t="shared" si="57"/>
        <v>0.5</v>
      </c>
    </row>
    <row r="29" ht="72">
      <c r="A29" s="31" t="s">
        <v>17</v>
      </c>
      <c r="B29" s="32" t="s">
        <v>260</v>
      </c>
      <c r="C29" s="32" t="s">
        <v>266</v>
      </c>
      <c r="D29" s="33" t="s">
        <v>267</v>
      </c>
      <c r="E29" s="33" t="s">
        <v>270</v>
      </c>
      <c r="F29" s="34" t="s">
        <v>53</v>
      </c>
      <c r="G29" s="35">
        <f t="shared" si="55"/>
        <v>0</v>
      </c>
      <c r="H29" t="s">
        <v>53</v>
      </c>
      <c r="I29" s="9">
        <f t="shared" si="56"/>
        <v>0</v>
      </c>
      <c r="J29" s="9">
        <f t="shared" si="57"/>
        <v>0</v>
      </c>
    </row>
    <row r="30" ht="72">
      <c r="A30" s="31" t="s">
        <v>17</v>
      </c>
      <c r="B30" s="32" t="s">
        <v>260</v>
      </c>
      <c r="C30" s="33" t="s">
        <v>271</v>
      </c>
      <c r="D30" s="32" t="s">
        <v>272</v>
      </c>
      <c r="E30" s="33" t="s">
        <v>273</v>
      </c>
      <c r="F30" s="34" t="s">
        <v>53</v>
      </c>
      <c r="G30" s="35">
        <f t="shared" si="55"/>
        <v>0</v>
      </c>
      <c r="H30" t="s">
        <v>53</v>
      </c>
      <c r="I30" s="9">
        <f t="shared" si="56"/>
        <v>0</v>
      </c>
      <c r="J30" s="9">
        <f t="shared" si="57"/>
        <v>0</v>
      </c>
    </row>
    <row r="31" ht="72">
      <c r="A31" s="31" t="s">
        <v>17</v>
      </c>
      <c r="B31" s="32" t="s">
        <v>260</v>
      </c>
      <c r="C31" s="33" t="s">
        <v>271</v>
      </c>
      <c r="D31" s="32" t="s">
        <v>272</v>
      </c>
      <c r="E31" s="33" t="s">
        <v>274</v>
      </c>
      <c r="F31" s="34" t="s">
        <v>53</v>
      </c>
      <c r="G31" s="35">
        <f t="shared" si="55"/>
        <v>0</v>
      </c>
      <c r="H31" t="s">
        <v>53</v>
      </c>
      <c r="I31" s="9">
        <f t="shared" si="56"/>
        <v>0</v>
      </c>
      <c r="J31" s="9">
        <f t="shared" si="57"/>
        <v>0</v>
      </c>
    </row>
    <row r="32" ht="90">
      <c r="A32" s="31" t="s">
        <v>17</v>
      </c>
      <c r="B32" s="32" t="s">
        <v>260</v>
      </c>
      <c r="C32" s="33" t="s">
        <v>271</v>
      </c>
      <c r="D32" s="32" t="s">
        <v>272</v>
      </c>
      <c r="E32" s="33" t="s">
        <v>275</v>
      </c>
      <c r="F32" s="34" t="s">
        <v>53</v>
      </c>
      <c r="G32" s="35">
        <f t="shared" si="55"/>
        <v>0</v>
      </c>
      <c r="H32" t="s">
        <v>53</v>
      </c>
      <c r="I32" s="9">
        <f t="shared" si="56"/>
        <v>0</v>
      </c>
      <c r="J32" s="9">
        <f t="shared" si="57"/>
        <v>0</v>
      </c>
    </row>
    <row r="33" ht="54">
      <c r="A33" s="31" t="s">
        <v>17</v>
      </c>
      <c r="B33" s="32" t="s">
        <v>260</v>
      </c>
      <c r="C33" s="33" t="s">
        <v>276</v>
      </c>
      <c r="D33" s="32" t="s">
        <v>277</v>
      </c>
      <c r="E33" s="33" t="s">
        <v>278</v>
      </c>
      <c r="F33" s="34" t="s">
        <v>53</v>
      </c>
      <c r="G33" s="35">
        <f t="shared" si="55"/>
        <v>0</v>
      </c>
      <c r="H33" t="s">
        <v>53</v>
      </c>
      <c r="I33" s="9">
        <f t="shared" si="56"/>
        <v>0</v>
      </c>
      <c r="J33" s="9">
        <f t="shared" si="57"/>
        <v>0</v>
      </c>
    </row>
    <row r="34" ht="54">
      <c r="A34" s="31" t="s">
        <v>17</v>
      </c>
      <c r="B34" s="32" t="s">
        <v>260</v>
      </c>
      <c r="C34" s="33" t="s">
        <v>276</v>
      </c>
      <c r="D34" s="32" t="s">
        <v>277</v>
      </c>
      <c r="E34" s="33" t="s">
        <v>279</v>
      </c>
      <c r="F34" s="34" t="s">
        <v>53</v>
      </c>
      <c r="G34" s="35">
        <f t="shared" si="55"/>
        <v>0</v>
      </c>
      <c r="H34" t="s">
        <v>53</v>
      </c>
      <c r="I34" s="9">
        <f t="shared" si="56"/>
        <v>0</v>
      </c>
      <c r="J34" s="9">
        <f t="shared" si="57"/>
        <v>0</v>
      </c>
    </row>
    <row r="35" ht="54">
      <c r="A35" s="31" t="s">
        <v>17</v>
      </c>
      <c r="B35" s="32" t="s">
        <v>260</v>
      </c>
      <c r="C35" s="33" t="s">
        <v>276</v>
      </c>
      <c r="D35" s="32" t="s">
        <v>277</v>
      </c>
      <c r="E35" s="33" t="s">
        <v>280</v>
      </c>
      <c r="F35" s="34" t="s">
        <v>53</v>
      </c>
      <c r="G35" s="35">
        <f t="shared" si="55"/>
        <v>0</v>
      </c>
      <c r="H35" t="s">
        <v>53</v>
      </c>
      <c r="I35" s="9">
        <f t="shared" si="56"/>
        <v>0</v>
      </c>
      <c r="J35" s="9">
        <f t="shared" si="57"/>
        <v>0</v>
      </c>
    </row>
    <row r="36" ht="90">
      <c r="A36" s="31" t="s">
        <v>17</v>
      </c>
      <c r="B36" s="32" t="s">
        <v>260</v>
      </c>
      <c r="C36" s="33" t="s">
        <v>281</v>
      </c>
      <c r="D36" s="32" t="s">
        <v>282</v>
      </c>
      <c r="E36" s="33" t="s">
        <v>283</v>
      </c>
      <c r="F36" s="34" t="s">
        <v>53</v>
      </c>
      <c r="G36" s="35">
        <f t="shared" si="55"/>
        <v>0</v>
      </c>
      <c r="H36" t="s">
        <v>53</v>
      </c>
      <c r="I36" s="9">
        <f t="shared" si="56"/>
        <v>0</v>
      </c>
      <c r="J36" s="9">
        <f t="shared" si="57"/>
        <v>0</v>
      </c>
    </row>
    <row r="37" ht="90">
      <c r="A37" s="31" t="s">
        <v>17</v>
      </c>
      <c r="B37" s="32" t="s">
        <v>260</v>
      </c>
      <c r="C37" s="33" t="s">
        <v>281</v>
      </c>
      <c r="D37" s="32" t="s">
        <v>282</v>
      </c>
      <c r="E37" s="33" t="s">
        <v>284</v>
      </c>
      <c r="F37" s="34" t="s">
        <v>53</v>
      </c>
      <c r="G37" s="35">
        <f t="shared" si="55"/>
        <v>0</v>
      </c>
      <c r="H37" t="s">
        <v>53</v>
      </c>
      <c r="I37" s="9">
        <f t="shared" si="56"/>
        <v>0</v>
      </c>
      <c r="J37" s="9">
        <f t="shared" si="57"/>
        <v>0</v>
      </c>
    </row>
    <row r="38" ht="36">
      <c r="A38" s="31" t="s">
        <v>17</v>
      </c>
      <c r="B38" s="32" t="s">
        <v>285</v>
      </c>
      <c r="C38" s="33" t="s">
        <v>286</v>
      </c>
      <c r="D38" s="32" t="s">
        <v>287</v>
      </c>
      <c r="E38" s="33" t="s">
        <v>288</v>
      </c>
      <c r="F38" s="34" t="s">
        <v>22</v>
      </c>
      <c r="G38" s="35">
        <f t="shared" si="55"/>
        <v>1</v>
      </c>
      <c r="H38" t="s">
        <v>22</v>
      </c>
      <c r="I38" s="9">
        <f t="shared" si="56"/>
        <v>1</v>
      </c>
      <c r="J38" s="9">
        <f t="shared" si="57"/>
        <v>1</v>
      </c>
    </row>
    <row r="39" ht="54">
      <c r="A39" s="31" t="s">
        <v>17</v>
      </c>
      <c r="B39" s="32" t="s">
        <v>285</v>
      </c>
      <c r="C39" s="33" t="s">
        <v>286</v>
      </c>
      <c r="D39" s="32" t="s">
        <v>287</v>
      </c>
      <c r="E39" s="33" t="s">
        <v>289</v>
      </c>
      <c r="F39" t="s">
        <v>70</v>
      </c>
      <c r="G39" s="35"/>
      <c r="H39" t="s">
        <v>70</v>
      </c>
      <c r="I39" s="9">
        <f t="shared" si="56"/>
        <v>0.5</v>
      </c>
      <c r="J39" s="9">
        <f t="shared" si="57"/>
        <v>0.5</v>
      </c>
    </row>
    <row r="40" ht="90">
      <c r="A40" s="31" t="s">
        <v>17</v>
      </c>
      <c r="B40" s="32" t="s">
        <v>285</v>
      </c>
      <c r="C40" s="33" t="s">
        <v>290</v>
      </c>
      <c r="D40" s="32" t="s">
        <v>291</v>
      </c>
      <c r="E40" s="33" t="s">
        <v>292</v>
      </c>
      <c r="F40" t="s">
        <v>53</v>
      </c>
      <c r="G40" s="35"/>
      <c r="H40" t="s">
        <v>53</v>
      </c>
      <c r="I40" s="9">
        <f t="shared" si="56"/>
        <v>0</v>
      </c>
      <c r="J40" s="9">
        <f t="shared" si="57"/>
        <v>0</v>
      </c>
    </row>
    <row r="41" ht="36">
      <c r="A41" s="31" t="s">
        <v>17</v>
      </c>
      <c r="B41" s="32" t="s">
        <v>285</v>
      </c>
      <c r="C41" s="33" t="s">
        <v>290</v>
      </c>
      <c r="D41" s="32" t="s">
        <v>291</v>
      </c>
      <c r="E41" s="33" t="s">
        <v>293</v>
      </c>
      <c r="F41" t="s">
        <v>53</v>
      </c>
      <c r="G41" s="35"/>
      <c r="H41" t="s">
        <v>53</v>
      </c>
      <c r="I41" s="9">
        <f t="shared" si="56"/>
        <v>0</v>
      </c>
      <c r="J41" s="9">
        <f t="shared" si="57"/>
        <v>0</v>
      </c>
    </row>
    <row r="42" ht="72">
      <c r="A42" s="31" t="s">
        <v>17</v>
      </c>
      <c r="B42" s="32" t="s">
        <v>285</v>
      </c>
      <c r="C42" s="33" t="s">
        <v>290</v>
      </c>
      <c r="D42" s="32" t="s">
        <v>291</v>
      </c>
      <c r="E42" s="33" t="s">
        <v>294</v>
      </c>
      <c r="F42" t="s">
        <v>53</v>
      </c>
      <c r="G42" s="35"/>
      <c r="H42" t="s">
        <v>53</v>
      </c>
      <c r="I42" s="9">
        <f t="shared" si="56"/>
        <v>0</v>
      </c>
      <c r="J42" s="9">
        <f t="shared" si="57"/>
        <v>0</v>
      </c>
    </row>
    <row r="43" ht="54">
      <c r="A43" s="31" t="s">
        <v>17</v>
      </c>
      <c r="B43" s="32" t="s">
        <v>285</v>
      </c>
      <c r="C43" s="33" t="s">
        <v>295</v>
      </c>
      <c r="D43" s="32" t="s">
        <v>296</v>
      </c>
      <c r="E43" s="33" t="s">
        <v>297</v>
      </c>
      <c r="F43" t="s">
        <v>53</v>
      </c>
      <c r="G43" s="35"/>
      <c r="H43" t="s">
        <v>53</v>
      </c>
      <c r="I43" s="9">
        <f t="shared" si="56"/>
        <v>0</v>
      </c>
      <c r="J43" s="9">
        <f t="shared" si="57"/>
        <v>0</v>
      </c>
    </row>
    <row r="44" ht="72">
      <c r="A44" s="31" t="s">
        <v>17</v>
      </c>
      <c r="B44" s="32" t="s">
        <v>285</v>
      </c>
      <c r="C44" s="33" t="s">
        <v>295</v>
      </c>
      <c r="D44" s="32" t="s">
        <v>296</v>
      </c>
      <c r="E44" s="33" t="s">
        <v>298</v>
      </c>
      <c r="F44" t="s">
        <v>70</v>
      </c>
      <c r="G44" s="35">
        <f>IF(F44="Cumple",1,IF(F44="Cumple Parcialmente",0.5,IF(F44="No Cumple",0,"")))</f>
        <v>0.5</v>
      </c>
      <c r="H44" t="s">
        <v>70</v>
      </c>
      <c r="I44" s="9">
        <f t="shared" si="56"/>
        <v>0.5</v>
      </c>
      <c r="J44" s="9">
        <f t="shared" si="57"/>
        <v>0.5</v>
      </c>
    </row>
    <row r="45" ht="54">
      <c r="A45" s="31" t="s">
        <v>17</v>
      </c>
      <c r="B45" s="32" t="s">
        <v>285</v>
      </c>
      <c r="C45" s="33" t="s">
        <v>295</v>
      </c>
      <c r="D45" s="32" t="s">
        <v>296</v>
      </c>
      <c r="E45" s="33" t="s">
        <v>299</v>
      </c>
      <c r="F45" t="s">
        <v>53</v>
      </c>
      <c r="G45" s="35"/>
      <c r="H45" t="s">
        <v>53</v>
      </c>
      <c r="I45" s="9">
        <f t="shared" si="56"/>
        <v>0</v>
      </c>
      <c r="J45" s="9">
        <f t="shared" si="57"/>
        <v>0</v>
      </c>
    </row>
    <row r="46" ht="36">
      <c r="A46" s="31" t="s">
        <v>17</v>
      </c>
      <c r="B46" s="32" t="s">
        <v>285</v>
      </c>
      <c r="C46" s="33" t="s">
        <v>300</v>
      </c>
      <c r="D46" s="32" t="s">
        <v>301</v>
      </c>
      <c r="E46" s="33" t="s">
        <v>302</v>
      </c>
      <c r="F46" t="s">
        <v>22</v>
      </c>
      <c r="G46" s="35">
        <f>IF(F46="Cumple",1,IF(F46="Cumple Parcialmente",0.5,IF(F46="No Cumple",0,"")))</f>
        <v>1</v>
      </c>
      <c r="H46" t="s">
        <v>22</v>
      </c>
      <c r="I46" s="9">
        <f t="shared" si="56"/>
        <v>1</v>
      </c>
      <c r="J46" s="9">
        <f t="shared" si="57"/>
        <v>1</v>
      </c>
    </row>
    <row r="47" ht="36">
      <c r="A47" s="31" t="s">
        <v>17</v>
      </c>
      <c r="B47" s="32" t="s">
        <v>285</v>
      </c>
      <c r="C47" s="33" t="s">
        <v>300</v>
      </c>
      <c r="D47" s="32" t="s">
        <v>301</v>
      </c>
      <c r="E47" s="33" t="s">
        <v>303</v>
      </c>
      <c r="F47" t="s">
        <v>53</v>
      </c>
      <c r="G47" s="35"/>
      <c r="H47" t="s">
        <v>53</v>
      </c>
      <c r="I47" s="9">
        <f t="shared" si="56"/>
        <v>0</v>
      </c>
      <c r="J47" s="9">
        <f t="shared" si="57"/>
        <v>0</v>
      </c>
    </row>
    <row r="48" ht="36">
      <c r="A48" s="31" t="s">
        <v>17</v>
      </c>
      <c r="B48" s="32" t="s">
        <v>285</v>
      </c>
      <c r="C48" s="33" t="s">
        <v>300</v>
      </c>
      <c r="D48" s="32" t="s">
        <v>301</v>
      </c>
      <c r="E48" s="33" t="s">
        <v>304</v>
      </c>
      <c r="F48" t="s">
        <v>53</v>
      </c>
      <c r="G48" s="35"/>
      <c r="H48" t="s">
        <v>53</v>
      </c>
      <c r="I48" s="9">
        <f t="shared" si="56"/>
        <v>0</v>
      </c>
      <c r="J48" s="9">
        <f t="shared" si="57"/>
        <v>0</v>
      </c>
    </row>
    <row r="49" ht="72">
      <c r="A49" s="31" t="s">
        <v>17</v>
      </c>
      <c r="B49" s="32" t="s">
        <v>305</v>
      </c>
      <c r="C49" s="33" t="s">
        <v>306</v>
      </c>
      <c r="D49" s="32" t="s">
        <v>307</v>
      </c>
      <c r="E49" s="33" t="s">
        <v>308</v>
      </c>
      <c r="F49" t="s">
        <v>70</v>
      </c>
      <c r="G49" s="35">
        <f>IF(F49="Cumple",1,IF(F49="Cumple Parcialmente",0.5,IF(F49="No Cumple",0,"")))</f>
        <v>0.5</v>
      </c>
      <c r="H49" t="s">
        <v>70</v>
      </c>
      <c r="I49" s="9">
        <f t="shared" si="56"/>
        <v>0.5</v>
      </c>
      <c r="J49" s="9">
        <f t="shared" si="57"/>
        <v>0.5</v>
      </c>
    </row>
    <row r="50" ht="72">
      <c r="A50" s="31" t="s">
        <v>17</v>
      </c>
      <c r="B50" s="32" t="s">
        <v>305</v>
      </c>
      <c r="C50" s="33" t="s">
        <v>306</v>
      </c>
      <c r="D50" s="32" t="s">
        <v>307</v>
      </c>
      <c r="E50" s="33" t="s">
        <v>309</v>
      </c>
      <c r="F50" t="s">
        <v>70</v>
      </c>
      <c r="G50" s="35">
        <f t="shared" si="55"/>
        <v>0.5</v>
      </c>
      <c r="H50" t="s">
        <v>70</v>
      </c>
      <c r="I50" s="9">
        <f t="shared" si="56"/>
        <v>0.5</v>
      </c>
      <c r="J50" s="9">
        <f t="shared" si="57"/>
        <v>0.5</v>
      </c>
    </row>
    <row r="51" ht="72">
      <c r="A51" s="31" t="s">
        <v>17</v>
      </c>
      <c r="B51" s="32" t="s">
        <v>305</v>
      </c>
      <c r="C51" s="33" t="s">
        <v>306</v>
      </c>
      <c r="D51" s="32" t="s">
        <v>307</v>
      </c>
      <c r="E51" s="33" t="s">
        <v>310</v>
      </c>
      <c r="F51" t="s">
        <v>53</v>
      </c>
      <c r="G51" s="35">
        <f t="shared" si="55"/>
        <v>0</v>
      </c>
      <c r="H51" t="s">
        <v>53</v>
      </c>
      <c r="I51" s="9">
        <f t="shared" si="56"/>
        <v>0</v>
      </c>
      <c r="J51" s="9">
        <f t="shared" si="57"/>
        <v>0</v>
      </c>
    </row>
    <row r="52" ht="36">
      <c r="A52" s="31" t="s">
        <v>17</v>
      </c>
      <c r="B52" s="32" t="s">
        <v>305</v>
      </c>
      <c r="C52" s="33" t="s">
        <v>311</v>
      </c>
      <c r="D52" s="32" t="s">
        <v>312</v>
      </c>
      <c r="E52" s="33" t="s">
        <v>313</v>
      </c>
      <c r="F52" t="s">
        <v>22</v>
      </c>
      <c r="G52" s="35">
        <f t="shared" si="55"/>
        <v>1</v>
      </c>
      <c r="H52" t="s">
        <v>22</v>
      </c>
      <c r="I52" s="9">
        <f t="shared" si="56"/>
        <v>1</v>
      </c>
      <c r="J52" s="9">
        <f t="shared" si="57"/>
        <v>1</v>
      </c>
    </row>
    <row r="53" ht="36">
      <c r="A53" s="31" t="s">
        <v>17</v>
      </c>
      <c r="B53" s="32" t="s">
        <v>305</v>
      </c>
      <c r="C53" s="33" t="s">
        <v>311</v>
      </c>
      <c r="D53" s="32" t="s">
        <v>312</v>
      </c>
      <c r="E53" s="33" t="s">
        <v>314</v>
      </c>
      <c r="F53" t="s">
        <v>22</v>
      </c>
      <c r="G53" s="35">
        <f t="shared" si="55"/>
        <v>1</v>
      </c>
      <c r="H53" t="s">
        <v>22</v>
      </c>
      <c r="I53" s="9">
        <f t="shared" si="56"/>
        <v>1</v>
      </c>
      <c r="J53" s="9">
        <f t="shared" si="57"/>
        <v>1</v>
      </c>
    </row>
    <row r="54" ht="36">
      <c r="A54" s="31" t="s">
        <v>17</v>
      </c>
      <c r="B54" s="32" t="s">
        <v>305</v>
      </c>
      <c r="C54" s="33" t="s">
        <v>311</v>
      </c>
      <c r="D54" s="32" t="s">
        <v>312</v>
      </c>
      <c r="E54" s="33" t="s">
        <v>315</v>
      </c>
      <c r="F54" t="s">
        <v>70</v>
      </c>
      <c r="G54" s="35">
        <f t="shared" si="55"/>
        <v>0.5</v>
      </c>
      <c r="H54" t="s">
        <v>70</v>
      </c>
      <c r="I54" s="9">
        <f t="shared" si="56"/>
        <v>0.5</v>
      </c>
      <c r="J54" s="9">
        <f t="shared" si="57"/>
        <v>0.5</v>
      </c>
    </row>
    <row r="55" ht="36">
      <c r="A55" s="31" t="s">
        <v>17</v>
      </c>
      <c r="B55" s="32" t="s">
        <v>305</v>
      </c>
      <c r="C55" s="33" t="s">
        <v>316</v>
      </c>
      <c r="D55" s="32" t="s">
        <v>317</v>
      </c>
      <c r="E55" s="33" t="s">
        <v>318</v>
      </c>
      <c r="F55" t="s">
        <v>70</v>
      </c>
      <c r="G55" s="35">
        <f t="shared" si="55"/>
        <v>0.5</v>
      </c>
      <c r="H55" t="s">
        <v>70</v>
      </c>
      <c r="I55" s="9">
        <f t="shared" si="56"/>
        <v>0.5</v>
      </c>
      <c r="J55" s="9">
        <f t="shared" si="57"/>
        <v>0.5</v>
      </c>
    </row>
    <row r="56" ht="36">
      <c r="A56" s="31" t="s">
        <v>17</v>
      </c>
      <c r="B56" s="32" t="s">
        <v>305</v>
      </c>
      <c r="C56" s="33" t="s">
        <v>316</v>
      </c>
      <c r="D56" s="32" t="s">
        <v>317</v>
      </c>
      <c r="E56" s="33" t="s">
        <v>319</v>
      </c>
      <c r="F56" t="s">
        <v>70</v>
      </c>
      <c r="G56" s="35">
        <f t="shared" si="55"/>
        <v>0.5</v>
      </c>
      <c r="H56" t="s">
        <v>70</v>
      </c>
      <c r="I56" s="9">
        <f t="shared" si="56"/>
        <v>0.5</v>
      </c>
      <c r="J56" s="9">
        <f t="shared" si="57"/>
        <v>0.5</v>
      </c>
    </row>
    <row r="57" ht="36">
      <c r="A57" s="31" t="s">
        <v>17</v>
      </c>
      <c r="B57" s="32" t="s">
        <v>305</v>
      </c>
      <c r="C57" s="33" t="s">
        <v>320</v>
      </c>
      <c r="D57" s="32" t="s">
        <v>321</v>
      </c>
      <c r="E57" s="33" t="s">
        <v>322</v>
      </c>
      <c r="F57" t="s">
        <v>22</v>
      </c>
      <c r="G57" s="35">
        <f t="shared" si="55"/>
        <v>1</v>
      </c>
      <c r="H57" t="s">
        <v>22</v>
      </c>
      <c r="I57" s="9">
        <f t="shared" si="56"/>
        <v>1</v>
      </c>
      <c r="J57" s="9">
        <f t="shared" si="57"/>
        <v>1</v>
      </c>
    </row>
    <row r="58" ht="36">
      <c r="A58" s="31" t="s">
        <v>17</v>
      </c>
      <c r="B58" s="32" t="s">
        <v>305</v>
      </c>
      <c r="C58" s="33" t="s">
        <v>320</v>
      </c>
      <c r="D58" s="32" t="s">
        <v>321</v>
      </c>
      <c r="E58" s="33" t="s">
        <v>323</v>
      </c>
      <c r="F58" t="s">
        <v>70</v>
      </c>
      <c r="G58" s="35">
        <f t="shared" si="55"/>
        <v>0.5</v>
      </c>
      <c r="H58" t="s">
        <v>70</v>
      </c>
      <c r="I58" s="9">
        <f t="shared" si="56"/>
        <v>0.5</v>
      </c>
      <c r="J58" s="9">
        <f t="shared" si="57"/>
        <v>0.5</v>
      </c>
    </row>
    <row r="59" ht="36">
      <c r="A59" s="31" t="s">
        <v>17</v>
      </c>
      <c r="B59" s="32" t="s">
        <v>305</v>
      </c>
      <c r="C59" s="33" t="s">
        <v>320</v>
      </c>
      <c r="D59" s="32" t="s">
        <v>321</v>
      </c>
      <c r="E59" s="33" t="s">
        <v>324</v>
      </c>
      <c r="F59" t="s">
        <v>70</v>
      </c>
      <c r="G59" s="35">
        <f t="shared" si="55"/>
        <v>0.5</v>
      </c>
      <c r="H59" t="s">
        <v>70</v>
      </c>
      <c r="I59" s="9">
        <f t="shared" si="56"/>
        <v>0.5</v>
      </c>
      <c r="J59" s="9">
        <f t="shared" si="57"/>
        <v>0.5</v>
      </c>
    </row>
    <row r="60" ht="54" customHeight="1">
      <c r="A60" s="31" t="s">
        <v>25</v>
      </c>
      <c r="B60" s="32" t="s">
        <v>222</v>
      </c>
      <c r="C60" s="33" t="s">
        <v>223</v>
      </c>
      <c r="D60" s="32" t="s">
        <v>224</v>
      </c>
      <c r="E60" s="33" t="s">
        <v>225</v>
      </c>
      <c r="F60" s="34" t="s">
        <v>22</v>
      </c>
      <c r="G60" s="35">
        <f t="shared" si="55"/>
        <v>1</v>
      </c>
      <c r="H60" s="9" t="s">
        <v>22</v>
      </c>
      <c r="I60" s="9">
        <f t="shared" si="56"/>
        <v>1</v>
      </c>
      <c r="J60" s="9">
        <f t="shared" si="57"/>
        <v>1</v>
      </c>
    </row>
    <row r="61" ht="36">
      <c r="A61" s="31" t="s">
        <v>25</v>
      </c>
      <c r="B61" s="32" t="s">
        <v>222</v>
      </c>
      <c r="C61" s="33" t="s">
        <v>223</v>
      </c>
      <c r="D61" s="32" t="s">
        <v>224</v>
      </c>
      <c r="E61" s="33" t="s">
        <v>226</v>
      </c>
      <c r="F61" s="34" t="s">
        <v>22</v>
      </c>
      <c r="G61" s="35">
        <f t="shared" si="55"/>
        <v>1</v>
      </c>
      <c r="H61" s="9" t="s">
        <v>70</v>
      </c>
      <c r="I61" s="9">
        <f t="shared" si="56"/>
        <v>0.5</v>
      </c>
      <c r="J61" s="9">
        <f t="shared" si="57"/>
        <v>0.75</v>
      </c>
    </row>
    <row r="62" ht="72">
      <c r="A62" s="31" t="s">
        <v>25</v>
      </c>
      <c r="B62" s="32" t="s">
        <v>222</v>
      </c>
      <c r="C62" s="33" t="s">
        <v>223</v>
      </c>
      <c r="D62" s="32" t="s">
        <v>224</v>
      </c>
      <c r="E62" s="33" t="s">
        <v>227</v>
      </c>
      <c r="F62" s="34" t="s">
        <v>70</v>
      </c>
      <c r="G62" s="35">
        <f t="shared" si="55"/>
        <v>0.5</v>
      </c>
      <c r="H62" s="9" t="s">
        <v>70</v>
      </c>
      <c r="I62" s="9">
        <f t="shared" si="56"/>
        <v>0.5</v>
      </c>
      <c r="J62" s="9">
        <f t="shared" si="57"/>
        <v>0.5</v>
      </c>
    </row>
    <row r="63" ht="72">
      <c r="A63" s="31" t="s">
        <v>25</v>
      </c>
      <c r="B63" s="32" t="s">
        <v>222</v>
      </c>
      <c r="C63" s="33" t="s">
        <v>228</v>
      </c>
      <c r="D63" s="32" t="s">
        <v>229</v>
      </c>
      <c r="E63" s="33" t="s">
        <v>230</v>
      </c>
      <c r="F63" s="34" t="s">
        <v>22</v>
      </c>
      <c r="G63" s="35">
        <f t="shared" si="55"/>
        <v>1</v>
      </c>
      <c r="H63" s="9" t="s">
        <v>22</v>
      </c>
      <c r="I63" s="9">
        <f t="shared" si="56"/>
        <v>1</v>
      </c>
      <c r="J63" s="9">
        <f t="shared" si="57"/>
        <v>1</v>
      </c>
    </row>
    <row r="64" ht="72">
      <c r="A64" s="31" t="s">
        <v>25</v>
      </c>
      <c r="B64" s="32" t="s">
        <v>222</v>
      </c>
      <c r="C64" s="33" t="s">
        <v>228</v>
      </c>
      <c r="D64" s="32" t="s">
        <v>229</v>
      </c>
      <c r="E64" s="33" t="s">
        <v>231</v>
      </c>
      <c r="F64" s="34" t="s">
        <v>70</v>
      </c>
      <c r="G64" s="35">
        <f t="shared" si="55"/>
        <v>0.5</v>
      </c>
      <c r="H64" s="9" t="s">
        <v>70</v>
      </c>
      <c r="I64" s="9">
        <f t="shared" si="56"/>
        <v>0.5</v>
      </c>
      <c r="J64" s="9">
        <f t="shared" si="57"/>
        <v>0.5</v>
      </c>
    </row>
    <row r="65" ht="72">
      <c r="A65" s="31" t="s">
        <v>25</v>
      </c>
      <c r="B65" s="32" t="s">
        <v>222</v>
      </c>
      <c r="C65" s="33" t="s">
        <v>232</v>
      </c>
      <c r="D65" s="32" t="s">
        <v>233</v>
      </c>
      <c r="E65" s="33" t="s">
        <v>234</v>
      </c>
      <c r="F65" s="34" t="s">
        <v>22</v>
      </c>
      <c r="G65" s="35">
        <f t="shared" si="55"/>
        <v>1</v>
      </c>
      <c r="H65" s="9" t="s">
        <v>22</v>
      </c>
      <c r="I65" s="9">
        <f t="shared" si="56"/>
        <v>1</v>
      </c>
      <c r="J65" s="9">
        <f t="shared" si="57"/>
        <v>1</v>
      </c>
    </row>
    <row r="66" ht="72">
      <c r="A66" s="31" t="s">
        <v>25</v>
      </c>
      <c r="B66" s="32" t="s">
        <v>222</v>
      </c>
      <c r="C66" s="33" t="s">
        <v>232</v>
      </c>
      <c r="D66" s="32" t="s">
        <v>233</v>
      </c>
      <c r="E66" s="33" t="s">
        <v>235</v>
      </c>
      <c r="F66" s="34" t="s">
        <v>70</v>
      </c>
      <c r="G66" s="35">
        <f t="shared" si="55"/>
        <v>0.5</v>
      </c>
      <c r="H66" s="9" t="s">
        <v>70</v>
      </c>
      <c r="I66" s="9">
        <f t="shared" si="56"/>
        <v>0.5</v>
      </c>
      <c r="J66" s="9">
        <f t="shared" si="57"/>
        <v>0.5</v>
      </c>
    </row>
    <row r="67" ht="72">
      <c r="A67" s="31" t="s">
        <v>25</v>
      </c>
      <c r="B67" s="32" t="s">
        <v>222</v>
      </c>
      <c r="C67" s="33" t="s">
        <v>232</v>
      </c>
      <c r="D67" s="32" t="s">
        <v>233</v>
      </c>
      <c r="E67" s="33" t="s">
        <v>236</v>
      </c>
      <c r="F67" s="34" t="s">
        <v>70</v>
      </c>
      <c r="G67" s="35">
        <f t="shared" si="55"/>
        <v>0.5</v>
      </c>
      <c r="H67" s="9" t="s">
        <v>70</v>
      </c>
      <c r="I67" s="9">
        <f t="shared" si="56"/>
        <v>0.5</v>
      </c>
      <c r="J67" s="9">
        <f t="shared" si="57"/>
        <v>0.5</v>
      </c>
    </row>
    <row r="68" ht="72">
      <c r="A68" s="31" t="s">
        <v>25</v>
      </c>
      <c r="B68" s="32" t="s">
        <v>222</v>
      </c>
      <c r="C68" s="33" t="s">
        <v>237</v>
      </c>
      <c r="D68" s="32" t="s">
        <v>238</v>
      </c>
      <c r="E68" s="33" t="s">
        <v>239</v>
      </c>
      <c r="F68" s="34" t="s">
        <v>53</v>
      </c>
      <c r="G68" s="35">
        <f t="shared" ref="G68" si="62">IF(F68="Cumple",1,IF(F68="Cumple Parcialmente",0.5,IF(F68="No Cumple",0,"")))</f>
        <v>0</v>
      </c>
      <c r="H68" s="9" t="s">
        <v>53</v>
      </c>
      <c r="I68" s="9">
        <f t="shared" ref="I68" si="63">IF(H68="Cumple",1,IF(H68="Cumple Parcialmente",0.5,IF(H68="No Cumple",0,"")))</f>
        <v>0</v>
      </c>
      <c r="J68" s="9">
        <f t="shared" ref="J68:J131" si="64">AVERAGE(G68,I68)</f>
        <v>0</v>
      </c>
    </row>
    <row r="69" ht="54">
      <c r="A69" s="31" t="s">
        <v>25</v>
      </c>
      <c r="B69" s="32" t="s">
        <v>222</v>
      </c>
      <c r="C69" s="33" t="s">
        <v>237</v>
      </c>
      <c r="D69" s="32" t="s">
        <v>238</v>
      </c>
      <c r="E69" s="33" t="s">
        <v>240</v>
      </c>
      <c r="F69" s="34" t="s">
        <v>53</v>
      </c>
      <c r="G69" s="35">
        <f t="shared" ref="G69:G132" si="65">IF(F69="Cumple",1,IF(F69="Cumple Parcialmente",0.5,IF(F69="No Cumple",0,"")))</f>
        <v>0</v>
      </c>
      <c r="H69" s="9" t="s">
        <v>53</v>
      </c>
      <c r="I69" s="9">
        <f t="shared" ref="I69:I132" si="66">IF(H69="Cumple",1,IF(H69="Cumple Parcialmente",0.5,IF(H69="No Cumple",0,"")))</f>
        <v>0</v>
      </c>
      <c r="J69" s="9">
        <f t="shared" si="64"/>
        <v>0</v>
      </c>
    </row>
    <row r="70" ht="54">
      <c r="A70" s="31" t="s">
        <v>25</v>
      </c>
      <c r="B70" s="32" t="s">
        <v>222</v>
      </c>
      <c r="C70" s="33" t="s">
        <v>241</v>
      </c>
      <c r="D70" s="32" t="s">
        <v>242</v>
      </c>
      <c r="E70" s="33" t="s">
        <v>243</v>
      </c>
      <c r="F70" s="34" t="s">
        <v>22</v>
      </c>
      <c r="G70" s="35">
        <f t="shared" si="65"/>
        <v>1</v>
      </c>
      <c r="H70" s="9" t="s">
        <v>22</v>
      </c>
      <c r="I70" s="9">
        <f t="shared" si="66"/>
        <v>1</v>
      </c>
      <c r="J70" s="9">
        <f t="shared" si="64"/>
        <v>1</v>
      </c>
    </row>
    <row r="71" ht="54">
      <c r="A71" s="31" t="s">
        <v>25</v>
      </c>
      <c r="B71" s="32" t="s">
        <v>222</v>
      </c>
      <c r="C71" s="33" t="s">
        <v>241</v>
      </c>
      <c r="D71" s="32" t="s">
        <v>242</v>
      </c>
      <c r="E71" s="33" t="s">
        <v>244</v>
      </c>
      <c r="F71" s="34" t="s">
        <v>22</v>
      </c>
      <c r="G71" s="35">
        <f t="shared" si="65"/>
        <v>1</v>
      </c>
      <c r="H71" s="9" t="s">
        <v>22</v>
      </c>
      <c r="I71" s="9">
        <f t="shared" si="66"/>
        <v>1</v>
      </c>
      <c r="J71" s="9">
        <f t="shared" si="64"/>
        <v>1</v>
      </c>
    </row>
    <row r="72" ht="72">
      <c r="A72" s="31" t="s">
        <v>25</v>
      </c>
      <c r="B72" s="32" t="s">
        <v>222</v>
      </c>
      <c r="C72" s="33" t="s">
        <v>241</v>
      </c>
      <c r="D72" s="32" t="s">
        <v>242</v>
      </c>
      <c r="E72" s="33" t="s">
        <v>245</v>
      </c>
      <c r="F72" s="34" t="s">
        <v>22</v>
      </c>
      <c r="G72" s="35">
        <f t="shared" si="65"/>
        <v>1</v>
      </c>
      <c r="H72" s="9" t="s">
        <v>22</v>
      </c>
      <c r="I72" s="9">
        <f t="shared" si="66"/>
        <v>1</v>
      </c>
      <c r="J72" s="9">
        <f t="shared" si="64"/>
        <v>1</v>
      </c>
    </row>
    <row r="73" ht="72">
      <c r="A73" s="31" t="s">
        <v>25</v>
      </c>
      <c r="B73" s="32" t="s">
        <v>246</v>
      </c>
      <c r="C73" s="33" t="s">
        <v>247</v>
      </c>
      <c r="D73" s="32" t="s">
        <v>248</v>
      </c>
      <c r="E73" s="33" t="s">
        <v>249</v>
      </c>
      <c r="F73" s="34" t="s">
        <v>22</v>
      </c>
      <c r="G73" s="35">
        <f t="shared" si="65"/>
        <v>1</v>
      </c>
      <c r="H73" s="9" t="s">
        <v>22</v>
      </c>
      <c r="I73" s="9">
        <f t="shared" si="66"/>
        <v>1</v>
      </c>
      <c r="J73" s="9">
        <f t="shared" si="64"/>
        <v>1</v>
      </c>
    </row>
    <row r="74" ht="54">
      <c r="A74" s="31" t="s">
        <v>25</v>
      </c>
      <c r="B74" s="32" t="s">
        <v>246</v>
      </c>
      <c r="C74" s="33" t="s">
        <v>247</v>
      </c>
      <c r="D74" s="32" t="s">
        <v>248</v>
      </c>
      <c r="E74" s="33" t="s">
        <v>250</v>
      </c>
      <c r="F74" s="34" t="s">
        <v>53</v>
      </c>
      <c r="G74" s="35">
        <f t="shared" si="65"/>
        <v>0</v>
      </c>
      <c r="H74" s="9" t="s">
        <v>70</v>
      </c>
      <c r="I74" s="9">
        <f t="shared" si="66"/>
        <v>0.5</v>
      </c>
      <c r="J74" s="9">
        <f t="shared" si="64"/>
        <v>0.25</v>
      </c>
    </row>
    <row r="75" ht="72">
      <c r="A75" s="31" t="s">
        <v>25</v>
      </c>
      <c r="B75" s="32" t="s">
        <v>246</v>
      </c>
      <c r="C75" s="33" t="s">
        <v>251</v>
      </c>
      <c r="D75" s="32" t="s">
        <v>252</v>
      </c>
      <c r="E75" s="33" t="s">
        <v>253</v>
      </c>
      <c r="F75" s="34" t="s">
        <v>70</v>
      </c>
      <c r="G75" s="35">
        <f t="shared" si="65"/>
        <v>0.5</v>
      </c>
      <c r="H75" s="9" t="s">
        <v>70</v>
      </c>
      <c r="I75" s="9">
        <f t="shared" si="66"/>
        <v>0.5</v>
      </c>
      <c r="J75" s="9">
        <f t="shared" si="64"/>
        <v>0.5</v>
      </c>
    </row>
    <row r="76" ht="72">
      <c r="A76" s="31" t="s">
        <v>25</v>
      </c>
      <c r="B76" s="32" t="s">
        <v>246</v>
      </c>
      <c r="C76" s="33" t="s">
        <v>251</v>
      </c>
      <c r="D76" s="32" t="s">
        <v>252</v>
      </c>
      <c r="E76" s="33" t="s">
        <v>254</v>
      </c>
      <c r="F76" s="34" t="s">
        <v>53</v>
      </c>
      <c r="G76" s="35">
        <f t="shared" si="65"/>
        <v>0</v>
      </c>
      <c r="H76" s="9" t="s">
        <v>53</v>
      </c>
      <c r="I76" s="9">
        <f t="shared" si="66"/>
        <v>0</v>
      </c>
      <c r="J76" s="9">
        <f t="shared" si="64"/>
        <v>0</v>
      </c>
    </row>
    <row r="77" ht="54">
      <c r="A77" s="31" t="s">
        <v>25</v>
      </c>
      <c r="B77" s="32" t="s">
        <v>246</v>
      </c>
      <c r="C77" s="33" t="s">
        <v>251</v>
      </c>
      <c r="D77" s="32" t="s">
        <v>252</v>
      </c>
      <c r="E77" s="33" t="s">
        <v>255</v>
      </c>
      <c r="F77" s="34" t="s">
        <v>70</v>
      </c>
      <c r="G77" s="35">
        <f t="shared" si="65"/>
        <v>0.5</v>
      </c>
      <c r="H77" s="9" t="s">
        <v>70</v>
      </c>
      <c r="I77" s="9">
        <f t="shared" si="66"/>
        <v>0.5</v>
      </c>
      <c r="J77" s="9">
        <f t="shared" si="64"/>
        <v>0.5</v>
      </c>
    </row>
    <row r="78" ht="72">
      <c r="A78" s="31" t="s">
        <v>25</v>
      </c>
      <c r="B78" s="32" t="s">
        <v>246</v>
      </c>
      <c r="C78" s="33" t="s">
        <v>256</v>
      </c>
      <c r="D78" s="32" t="s">
        <v>257</v>
      </c>
      <c r="E78" s="33" t="s">
        <v>258</v>
      </c>
      <c r="F78" s="34" t="s">
        <v>70</v>
      </c>
      <c r="G78" s="35">
        <f t="shared" si="65"/>
        <v>0.5</v>
      </c>
      <c r="H78" s="9" t="s">
        <v>70</v>
      </c>
      <c r="I78" s="9">
        <f t="shared" si="66"/>
        <v>0.5</v>
      </c>
      <c r="J78" s="9">
        <f t="shared" si="64"/>
        <v>0.5</v>
      </c>
    </row>
    <row r="79" ht="72">
      <c r="A79" s="31" t="s">
        <v>25</v>
      </c>
      <c r="B79" s="32" t="s">
        <v>246</v>
      </c>
      <c r="C79" s="33" t="s">
        <v>256</v>
      </c>
      <c r="D79" s="32" t="s">
        <v>257</v>
      </c>
      <c r="E79" s="33" t="s">
        <v>259</v>
      </c>
      <c r="F79" s="34" t="s">
        <v>53</v>
      </c>
      <c r="G79" s="35">
        <f t="shared" si="65"/>
        <v>0</v>
      </c>
      <c r="H79" s="9" t="s">
        <v>53</v>
      </c>
      <c r="I79" s="9">
        <f t="shared" si="66"/>
        <v>0</v>
      </c>
      <c r="J79" s="9">
        <f t="shared" si="64"/>
        <v>0</v>
      </c>
    </row>
    <row r="80" ht="54">
      <c r="A80" s="31" t="s">
        <v>25</v>
      </c>
      <c r="B80" s="32" t="s">
        <v>260</v>
      </c>
      <c r="C80" s="33" t="s">
        <v>261</v>
      </c>
      <c r="D80" s="32" t="s">
        <v>262</v>
      </c>
      <c r="E80" s="33" t="s">
        <v>263</v>
      </c>
      <c r="F80" s="34" t="s">
        <v>70</v>
      </c>
      <c r="G80" s="35">
        <f t="shared" si="65"/>
        <v>0.5</v>
      </c>
      <c r="H80" s="9" t="s">
        <v>70</v>
      </c>
      <c r="I80" s="9">
        <f t="shared" si="66"/>
        <v>0.5</v>
      </c>
      <c r="J80" s="9">
        <f t="shared" si="64"/>
        <v>0.5</v>
      </c>
    </row>
    <row r="81" ht="54">
      <c r="A81" s="31" t="s">
        <v>25</v>
      </c>
      <c r="B81" s="32" t="s">
        <v>260</v>
      </c>
      <c r="C81" s="33" t="s">
        <v>261</v>
      </c>
      <c r="D81" s="32" t="s">
        <v>262</v>
      </c>
      <c r="E81" s="33" t="s">
        <v>264</v>
      </c>
      <c r="F81" s="34" t="s">
        <v>53</v>
      </c>
      <c r="G81" s="35">
        <f t="shared" si="65"/>
        <v>0</v>
      </c>
      <c r="H81" s="9" t="s">
        <v>53</v>
      </c>
      <c r="I81" s="9">
        <f t="shared" si="66"/>
        <v>0</v>
      </c>
      <c r="J81" s="9">
        <f t="shared" si="64"/>
        <v>0</v>
      </c>
    </row>
    <row r="82" ht="54">
      <c r="A82" s="31" t="s">
        <v>25</v>
      </c>
      <c r="B82" s="32" t="s">
        <v>260</v>
      </c>
      <c r="C82" s="33" t="s">
        <v>261</v>
      </c>
      <c r="D82" s="32" t="s">
        <v>262</v>
      </c>
      <c r="E82" s="33" t="s">
        <v>265</v>
      </c>
      <c r="F82" s="34" t="s">
        <v>53</v>
      </c>
      <c r="G82" s="35">
        <f t="shared" si="65"/>
        <v>0</v>
      </c>
      <c r="H82" s="9" t="s">
        <v>53</v>
      </c>
      <c r="I82" s="9">
        <f t="shared" si="66"/>
        <v>0</v>
      </c>
      <c r="J82" s="9">
        <f t="shared" si="64"/>
        <v>0</v>
      </c>
    </row>
    <row r="83" ht="72">
      <c r="A83" s="31" t="s">
        <v>25</v>
      </c>
      <c r="B83" s="32" t="s">
        <v>260</v>
      </c>
      <c r="C83" s="32" t="s">
        <v>266</v>
      </c>
      <c r="D83" s="33" t="s">
        <v>267</v>
      </c>
      <c r="E83" s="33" t="s">
        <v>268</v>
      </c>
      <c r="F83" s="34" t="s">
        <v>70</v>
      </c>
      <c r="G83" s="35">
        <f t="shared" si="65"/>
        <v>0.5</v>
      </c>
      <c r="H83" s="9" t="s">
        <v>70</v>
      </c>
      <c r="I83" s="9">
        <f t="shared" si="66"/>
        <v>0.5</v>
      </c>
      <c r="J83" s="9">
        <f t="shared" si="64"/>
        <v>0.5</v>
      </c>
    </row>
    <row r="84" ht="72">
      <c r="A84" s="31" t="s">
        <v>25</v>
      </c>
      <c r="B84" s="32" t="s">
        <v>260</v>
      </c>
      <c r="C84" s="32" t="s">
        <v>266</v>
      </c>
      <c r="D84" s="33" t="s">
        <v>267</v>
      </c>
      <c r="E84" s="33" t="s">
        <v>269</v>
      </c>
      <c r="F84" s="34" t="s">
        <v>70</v>
      </c>
      <c r="G84" s="35">
        <f t="shared" si="65"/>
        <v>0.5</v>
      </c>
      <c r="H84" s="9" t="s">
        <v>70</v>
      </c>
      <c r="I84" s="9">
        <f t="shared" si="66"/>
        <v>0.5</v>
      </c>
      <c r="J84" s="9">
        <f t="shared" si="64"/>
        <v>0.5</v>
      </c>
    </row>
    <row r="85" ht="72">
      <c r="A85" s="31" t="s">
        <v>25</v>
      </c>
      <c r="B85" s="32" t="s">
        <v>260</v>
      </c>
      <c r="C85" s="32" t="s">
        <v>266</v>
      </c>
      <c r="D85" s="33" t="s">
        <v>267</v>
      </c>
      <c r="E85" s="33" t="s">
        <v>270</v>
      </c>
      <c r="F85" s="34" t="s">
        <v>53</v>
      </c>
      <c r="G85" s="35">
        <f t="shared" si="65"/>
        <v>0</v>
      </c>
      <c r="H85" s="9" t="s">
        <v>53</v>
      </c>
      <c r="I85" s="9">
        <f t="shared" si="66"/>
        <v>0</v>
      </c>
      <c r="J85" s="9">
        <f t="shared" si="64"/>
        <v>0</v>
      </c>
    </row>
    <row r="86" ht="72">
      <c r="A86" s="31" t="s">
        <v>25</v>
      </c>
      <c r="B86" s="32" t="s">
        <v>260</v>
      </c>
      <c r="C86" s="33" t="s">
        <v>271</v>
      </c>
      <c r="D86" s="32" t="s">
        <v>272</v>
      </c>
      <c r="E86" s="33" t="s">
        <v>273</v>
      </c>
      <c r="F86" s="34" t="s">
        <v>53</v>
      </c>
      <c r="G86" s="35">
        <f t="shared" si="65"/>
        <v>0</v>
      </c>
      <c r="H86" s="9" t="s">
        <v>53</v>
      </c>
      <c r="I86" s="9">
        <f t="shared" si="66"/>
        <v>0</v>
      </c>
      <c r="J86" s="9">
        <f t="shared" si="64"/>
        <v>0</v>
      </c>
    </row>
    <row r="87" ht="72">
      <c r="A87" s="31" t="s">
        <v>25</v>
      </c>
      <c r="B87" s="32" t="s">
        <v>260</v>
      </c>
      <c r="C87" s="33" t="s">
        <v>271</v>
      </c>
      <c r="D87" s="32" t="s">
        <v>272</v>
      </c>
      <c r="E87" s="33" t="s">
        <v>274</v>
      </c>
      <c r="F87" s="34" t="s">
        <v>53</v>
      </c>
      <c r="G87" s="35">
        <f t="shared" si="65"/>
        <v>0</v>
      </c>
      <c r="H87" s="9" t="s">
        <v>53</v>
      </c>
      <c r="I87" s="9">
        <f t="shared" si="66"/>
        <v>0</v>
      </c>
      <c r="J87" s="9">
        <f t="shared" si="64"/>
        <v>0</v>
      </c>
    </row>
    <row r="88" ht="90">
      <c r="A88" s="31" t="s">
        <v>25</v>
      </c>
      <c r="B88" s="32" t="s">
        <v>260</v>
      </c>
      <c r="C88" s="33" t="s">
        <v>271</v>
      </c>
      <c r="D88" s="32" t="s">
        <v>272</v>
      </c>
      <c r="E88" s="33" t="s">
        <v>275</v>
      </c>
      <c r="F88" s="34" t="s">
        <v>53</v>
      </c>
      <c r="G88" s="35">
        <f t="shared" si="65"/>
        <v>0</v>
      </c>
      <c r="H88" s="9" t="s">
        <v>53</v>
      </c>
      <c r="I88" s="9">
        <f t="shared" si="66"/>
        <v>0</v>
      </c>
      <c r="J88" s="9">
        <f t="shared" si="64"/>
        <v>0</v>
      </c>
    </row>
    <row r="89" ht="54">
      <c r="A89" s="31" t="s">
        <v>25</v>
      </c>
      <c r="B89" s="32" t="s">
        <v>260</v>
      </c>
      <c r="C89" s="33" t="s">
        <v>276</v>
      </c>
      <c r="D89" s="32" t="s">
        <v>277</v>
      </c>
      <c r="E89" s="33" t="s">
        <v>278</v>
      </c>
      <c r="F89" s="34" t="s">
        <v>53</v>
      </c>
      <c r="G89" s="35">
        <f t="shared" si="65"/>
        <v>0</v>
      </c>
      <c r="H89" s="9" t="s">
        <v>53</v>
      </c>
      <c r="I89" s="9">
        <f t="shared" si="66"/>
        <v>0</v>
      </c>
      <c r="J89" s="9">
        <f t="shared" si="64"/>
        <v>0</v>
      </c>
    </row>
    <row r="90" ht="54">
      <c r="A90" s="31" t="s">
        <v>25</v>
      </c>
      <c r="B90" s="32" t="s">
        <v>260</v>
      </c>
      <c r="C90" s="33" t="s">
        <v>276</v>
      </c>
      <c r="D90" s="32" t="s">
        <v>277</v>
      </c>
      <c r="E90" s="33" t="s">
        <v>279</v>
      </c>
      <c r="F90" s="34" t="s">
        <v>53</v>
      </c>
      <c r="G90" s="35">
        <f t="shared" si="65"/>
        <v>0</v>
      </c>
      <c r="H90" s="9" t="s">
        <v>53</v>
      </c>
      <c r="I90" s="9">
        <f t="shared" si="66"/>
        <v>0</v>
      </c>
      <c r="J90" s="9">
        <f t="shared" si="64"/>
        <v>0</v>
      </c>
    </row>
    <row r="91" ht="54">
      <c r="A91" s="31" t="s">
        <v>25</v>
      </c>
      <c r="B91" s="32" t="s">
        <v>260</v>
      </c>
      <c r="C91" s="33" t="s">
        <v>276</v>
      </c>
      <c r="D91" s="32" t="s">
        <v>277</v>
      </c>
      <c r="E91" s="33" t="s">
        <v>280</v>
      </c>
      <c r="F91" s="34" t="s">
        <v>53</v>
      </c>
      <c r="G91" s="35">
        <f t="shared" si="65"/>
        <v>0</v>
      </c>
      <c r="H91" s="9" t="s">
        <v>53</v>
      </c>
      <c r="I91" s="9">
        <f t="shared" si="66"/>
        <v>0</v>
      </c>
      <c r="J91" s="9">
        <f t="shared" si="64"/>
        <v>0</v>
      </c>
    </row>
    <row r="92" ht="90">
      <c r="A92" s="31" t="s">
        <v>25</v>
      </c>
      <c r="B92" s="32" t="s">
        <v>260</v>
      </c>
      <c r="C92" s="33" t="s">
        <v>281</v>
      </c>
      <c r="D92" s="32" t="s">
        <v>282</v>
      </c>
      <c r="E92" s="33" t="s">
        <v>283</v>
      </c>
      <c r="F92" s="34" t="s">
        <v>53</v>
      </c>
      <c r="G92" s="35">
        <f t="shared" si="65"/>
        <v>0</v>
      </c>
      <c r="H92" s="9" t="s">
        <v>53</v>
      </c>
      <c r="I92" s="9">
        <f t="shared" si="66"/>
        <v>0</v>
      </c>
      <c r="J92" s="9">
        <f t="shared" si="64"/>
        <v>0</v>
      </c>
    </row>
    <row r="93" ht="90">
      <c r="A93" s="31" t="s">
        <v>25</v>
      </c>
      <c r="B93" s="32" t="s">
        <v>260</v>
      </c>
      <c r="C93" s="33" t="s">
        <v>281</v>
      </c>
      <c r="D93" s="32" t="s">
        <v>282</v>
      </c>
      <c r="E93" s="33" t="s">
        <v>284</v>
      </c>
      <c r="F93" s="34" t="s">
        <v>53</v>
      </c>
      <c r="G93" s="35">
        <f t="shared" si="65"/>
        <v>0</v>
      </c>
      <c r="H93" s="9" t="s">
        <v>53</v>
      </c>
      <c r="I93" s="9">
        <f t="shared" si="66"/>
        <v>0</v>
      </c>
      <c r="J93" s="9">
        <f t="shared" si="64"/>
        <v>0</v>
      </c>
    </row>
    <row r="94" ht="36">
      <c r="A94" s="31" t="s">
        <v>25</v>
      </c>
      <c r="B94" s="32" t="s">
        <v>285</v>
      </c>
      <c r="C94" s="33" t="s">
        <v>286</v>
      </c>
      <c r="D94" s="32" t="s">
        <v>287</v>
      </c>
      <c r="E94" s="33" t="s">
        <v>288</v>
      </c>
      <c r="F94" s="34" t="s">
        <v>22</v>
      </c>
      <c r="G94" s="35">
        <f t="shared" si="65"/>
        <v>1</v>
      </c>
      <c r="H94" s="9" t="s">
        <v>53</v>
      </c>
      <c r="I94" s="9">
        <f t="shared" si="66"/>
        <v>0</v>
      </c>
      <c r="J94" s="9">
        <f t="shared" si="64"/>
        <v>0.5</v>
      </c>
    </row>
    <row r="95" ht="54">
      <c r="A95" s="31" t="s">
        <v>25</v>
      </c>
      <c r="B95" s="32" t="s">
        <v>285</v>
      </c>
      <c r="C95" s="33" t="s">
        <v>286</v>
      </c>
      <c r="D95" s="32" t="s">
        <v>287</v>
      </c>
      <c r="E95" s="33" t="s">
        <v>289</v>
      </c>
      <c r="F95" s="34" t="s">
        <v>22</v>
      </c>
      <c r="G95" s="35">
        <f t="shared" si="65"/>
        <v>1</v>
      </c>
      <c r="H95" s="9" t="s">
        <v>22</v>
      </c>
      <c r="I95" s="9">
        <f t="shared" si="66"/>
        <v>1</v>
      </c>
      <c r="J95" s="9">
        <f t="shared" si="64"/>
        <v>1</v>
      </c>
    </row>
    <row r="96" ht="90">
      <c r="A96" s="31" t="s">
        <v>25</v>
      </c>
      <c r="B96" s="32" t="s">
        <v>285</v>
      </c>
      <c r="C96" s="33" t="s">
        <v>290</v>
      </c>
      <c r="D96" s="32" t="s">
        <v>291</v>
      </c>
      <c r="E96" s="33" t="s">
        <v>292</v>
      </c>
      <c r="F96" s="34" t="s">
        <v>53</v>
      </c>
      <c r="G96" s="35">
        <f t="shared" si="65"/>
        <v>0</v>
      </c>
      <c r="H96" s="9" t="s">
        <v>70</v>
      </c>
      <c r="I96" s="9">
        <f t="shared" si="66"/>
        <v>0.5</v>
      </c>
      <c r="J96" s="9">
        <f t="shared" si="64"/>
        <v>0.25</v>
      </c>
    </row>
    <row r="97" ht="36">
      <c r="A97" s="31" t="s">
        <v>25</v>
      </c>
      <c r="B97" s="32" t="s">
        <v>285</v>
      </c>
      <c r="C97" s="33" t="s">
        <v>290</v>
      </c>
      <c r="D97" s="32" t="s">
        <v>291</v>
      </c>
      <c r="E97" s="33" t="s">
        <v>293</v>
      </c>
      <c r="F97" s="34" t="s">
        <v>53</v>
      </c>
      <c r="G97" s="35">
        <f t="shared" si="65"/>
        <v>0</v>
      </c>
      <c r="H97" s="9" t="s">
        <v>53</v>
      </c>
      <c r="I97" s="9">
        <f t="shared" si="66"/>
        <v>0</v>
      </c>
      <c r="J97" s="9">
        <f t="shared" si="64"/>
        <v>0</v>
      </c>
    </row>
    <row r="98" ht="72">
      <c r="A98" s="31" t="s">
        <v>25</v>
      </c>
      <c r="B98" s="32" t="s">
        <v>285</v>
      </c>
      <c r="C98" s="33" t="s">
        <v>290</v>
      </c>
      <c r="D98" s="32" t="s">
        <v>291</v>
      </c>
      <c r="E98" s="33" t="s">
        <v>294</v>
      </c>
      <c r="F98" s="34" t="s">
        <v>53</v>
      </c>
      <c r="G98" s="35">
        <f t="shared" si="65"/>
        <v>0</v>
      </c>
      <c r="H98" s="9" t="s">
        <v>53</v>
      </c>
      <c r="I98" s="9">
        <f t="shared" si="66"/>
        <v>0</v>
      </c>
      <c r="J98" s="9">
        <f t="shared" si="64"/>
        <v>0</v>
      </c>
    </row>
    <row r="99" ht="54">
      <c r="A99" s="31" t="s">
        <v>25</v>
      </c>
      <c r="B99" s="32" t="s">
        <v>285</v>
      </c>
      <c r="C99" s="33" t="s">
        <v>295</v>
      </c>
      <c r="D99" s="32" t="s">
        <v>296</v>
      </c>
      <c r="E99" s="33" t="s">
        <v>297</v>
      </c>
      <c r="F99" s="34" t="s">
        <v>53</v>
      </c>
      <c r="G99" s="35">
        <f t="shared" si="65"/>
        <v>0</v>
      </c>
      <c r="H99" s="9" t="s">
        <v>53</v>
      </c>
      <c r="I99" s="9">
        <f t="shared" si="66"/>
        <v>0</v>
      </c>
      <c r="J99" s="9">
        <f t="shared" si="64"/>
        <v>0</v>
      </c>
    </row>
    <row r="100" ht="72">
      <c r="A100" s="31" t="s">
        <v>25</v>
      </c>
      <c r="B100" s="32" t="s">
        <v>285</v>
      </c>
      <c r="C100" s="33" t="s">
        <v>295</v>
      </c>
      <c r="D100" s="32" t="s">
        <v>296</v>
      </c>
      <c r="E100" s="33" t="s">
        <v>298</v>
      </c>
      <c r="F100" s="34" t="s">
        <v>53</v>
      </c>
      <c r="G100" s="35">
        <f t="shared" si="65"/>
        <v>0</v>
      </c>
      <c r="H100" s="9" t="s">
        <v>53</v>
      </c>
      <c r="I100" s="9">
        <f t="shared" si="66"/>
        <v>0</v>
      </c>
      <c r="J100" s="9">
        <f t="shared" si="64"/>
        <v>0</v>
      </c>
    </row>
    <row r="101" ht="54">
      <c r="A101" s="31" t="s">
        <v>25</v>
      </c>
      <c r="B101" s="32" t="s">
        <v>285</v>
      </c>
      <c r="C101" s="33" t="s">
        <v>295</v>
      </c>
      <c r="D101" s="32" t="s">
        <v>296</v>
      </c>
      <c r="E101" s="33" t="s">
        <v>299</v>
      </c>
      <c r="F101" s="34" t="s">
        <v>53</v>
      </c>
      <c r="G101" s="35">
        <f t="shared" si="65"/>
        <v>0</v>
      </c>
      <c r="H101" s="9" t="s">
        <v>53</v>
      </c>
      <c r="I101" s="9">
        <f t="shared" si="66"/>
        <v>0</v>
      </c>
      <c r="J101" s="9">
        <f t="shared" si="64"/>
        <v>0</v>
      </c>
    </row>
    <row r="102" ht="36">
      <c r="A102" s="31" t="s">
        <v>25</v>
      </c>
      <c r="B102" s="32" t="s">
        <v>285</v>
      </c>
      <c r="C102" s="33" t="s">
        <v>300</v>
      </c>
      <c r="D102" s="32" t="s">
        <v>301</v>
      </c>
      <c r="E102" s="33" t="s">
        <v>302</v>
      </c>
      <c r="F102" s="34" t="s">
        <v>53</v>
      </c>
      <c r="G102" s="35">
        <f t="shared" si="65"/>
        <v>0</v>
      </c>
      <c r="H102" s="9" t="s">
        <v>53</v>
      </c>
      <c r="I102" s="9">
        <f t="shared" si="66"/>
        <v>0</v>
      </c>
      <c r="J102" s="9">
        <f t="shared" si="64"/>
        <v>0</v>
      </c>
    </row>
    <row r="103" ht="36">
      <c r="A103" s="31" t="s">
        <v>25</v>
      </c>
      <c r="B103" s="32" t="s">
        <v>285</v>
      </c>
      <c r="C103" s="33" t="s">
        <v>300</v>
      </c>
      <c r="D103" s="32" t="s">
        <v>301</v>
      </c>
      <c r="E103" s="33" t="s">
        <v>303</v>
      </c>
      <c r="F103" s="34" t="s">
        <v>70</v>
      </c>
      <c r="G103" s="35">
        <f t="shared" si="65"/>
        <v>0.5</v>
      </c>
      <c r="H103" s="9" t="s">
        <v>70</v>
      </c>
      <c r="I103" s="9">
        <f t="shared" si="66"/>
        <v>0.5</v>
      </c>
      <c r="J103" s="9">
        <f t="shared" si="64"/>
        <v>0.5</v>
      </c>
    </row>
    <row r="104" ht="36">
      <c r="A104" s="31" t="s">
        <v>25</v>
      </c>
      <c r="B104" s="32" t="s">
        <v>285</v>
      </c>
      <c r="C104" s="33" t="s">
        <v>300</v>
      </c>
      <c r="D104" s="32" t="s">
        <v>301</v>
      </c>
      <c r="E104" s="33" t="s">
        <v>304</v>
      </c>
      <c r="F104" s="34" t="s">
        <v>53</v>
      </c>
      <c r="G104" s="35">
        <f t="shared" si="65"/>
        <v>0</v>
      </c>
      <c r="H104" s="9" t="s">
        <v>53</v>
      </c>
      <c r="I104" s="9">
        <f t="shared" si="66"/>
        <v>0</v>
      </c>
      <c r="J104" s="9">
        <f t="shared" si="64"/>
        <v>0</v>
      </c>
    </row>
    <row r="105" ht="68.25" customHeight="1">
      <c r="A105" s="31" t="s">
        <v>25</v>
      </c>
      <c r="B105" s="32" t="s">
        <v>305</v>
      </c>
      <c r="C105" s="33" t="s">
        <v>306</v>
      </c>
      <c r="D105" s="32" t="s">
        <v>307</v>
      </c>
      <c r="E105" s="33" t="s">
        <v>308</v>
      </c>
      <c r="F105" s="34" t="s">
        <v>53</v>
      </c>
      <c r="G105" s="35">
        <f t="shared" si="65"/>
        <v>0</v>
      </c>
      <c r="H105" s="9" t="s">
        <v>53</v>
      </c>
      <c r="I105" s="9">
        <f t="shared" si="66"/>
        <v>0</v>
      </c>
      <c r="J105" s="9">
        <f t="shared" si="64"/>
        <v>0</v>
      </c>
    </row>
    <row r="106" ht="65.25" customHeight="1">
      <c r="A106" s="31" t="s">
        <v>25</v>
      </c>
      <c r="B106" s="32" t="s">
        <v>305</v>
      </c>
      <c r="C106" s="33" t="s">
        <v>306</v>
      </c>
      <c r="D106" s="32" t="s">
        <v>307</v>
      </c>
      <c r="E106" s="33" t="s">
        <v>309</v>
      </c>
      <c r="F106" t="s">
        <v>53</v>
      </c>
      <c r="G106" s="35">
        <f t="shared" si="65"/>
        <v>0</v>
      </c>
      <c r="H106" s="9" t="s">
        <v>53</v>
      </c>
      <c r="I106" s="9">
        <f t="shared" si="66"/>
        <v>0</v>
      </c>
      <c r="J106" s="9">
        <f t="shared" si="64"/>
        <v>0</v>
      </c>
    </row>
    <row r="107" ht="75" customHeight="1">
      <c r="A107" s="31" t="s">
        <v>25</v>
      </c>
      <c r="B107" s="32" t="s">
        <v>305</v>
      </c>
      <c r="C107" s="33" t="s">
        <v>306</v>
      </c>
      <c r="D107" s="32" t="s">
        <v>307</v>
      </c>
      <c r="E107" s="33" t="s">
        <v>310</v>
      </c>
      <c r="F107" t="s">
        <v>53</v>
      </c>
      <c r="G107" s="35">
        <f t="shared" si="65"/>
        <v>0</v>
      </c>
      <c r="H107" s="9" t="s">
        <v>53</v>
      </c>
      <c r="I107" s="9">
        <f t="shared" si="66"/>
        <v>0</v>
      </c>
      <c r="J107" s="9">
        <f t="shared" si="64"/>
        <v>0</v>
      </c>
    </row>
    <row r="108" ht="36">
      <c r="A108" s="31" t="s">
        <v>25</v>
      </c>
      <c r="B108" s="32" t="s">
        <v>305</v>
      </c>
      <c r="C108" s="33" t="s">
        <v>311</v>
      </c>
      <c r="D108" s="32" t="s">
        <v>312</v>
      </c>
      <c r="E108" s="33" t="s">
        <v>313</v>
      </c>
      <c r="F108" t="s">
        <v>53</v>
      </c>
      <c r="G108" s="35">
        <f t="shared" si="65"/>
        <v>0</v>
      </c>
      <c r="H108" s="9" t="s">
        <v>53</v>
      </c>
      <c r="I108" s="9">
        <f t="shared" si="66"/>
        <v>0</v>
      </c>
      <c r="J108" s="9">
        <f t="shared" si="64"/>
        <v>0</v>
      </c>
    </row>
    <row r="109" ht="36">
      <c r="A109" s="31" t="s">
        <v>25</v>
      </c>
      <c r="B109" s="32" t="s">
        <v>305</v>
      </c>
      <c r="C109" s="33" t="s">
        <v>311</v>
      </c>
      <c r="D109" s="32" t="s">
        <v>312</v>
      </c>
      <c r="E109" s="33" t="s">
        <v>314</v>
      </c>
      <c r="F109" t="s">
        <v>53</v>
      </c>
      <c r="G109" s="35">
        <f t="shared" si="65"/>
        <v>0</v>
      </c>
      <c r="H109" s="9" t="s">
        <v>53</v>
      </c>
      <c r="I109" s="9">
        <f t="shared" si="66"/>
        <v>0</v>
      </c>
      <c r="J109" s="9">
        <f t="shared" si="64"/>
        <v>0</v>
      </c>
    </row>
    <row r="110" ht="36">
      <c r="A110" s="31" t="s">
        <v>25</v>
      </c>
      <c r="B110" s="32" t="s">
        <v>305</v>
      </c>
      <c r="C110" s="33" t="s">
        <v>311</v>
      </c>
      <c r="D110" s="32" t="s">
        <v>312</v>
      </c>
      <c r="E110" s="33" t="s">
        <v>315</v>
      </c>
      <c r="F110" s="9" t="s">
        <v>70</v>
      </c>
      <c r="G110" s="35">
        <f t="shared" si="65"/>
        <v>0.5</v>
      </c>
      <c r="H110" s="9" t="s">
        <v>70</v>
      </c>
      <c r="I110" s="9">
        <f t="shared" si="66"/>
        <v>0.5</v>
      </c>
      <c r="J110" s="9">
        <f t="shared" si="64"/>
        <v>0.5</v>
      </c>
    </row>
    <row r="111" ht="36">
      <c r="A111" s="31" t="s">
        <v>25</v>
      </c>
      <c r="B111" s="32" t="s">
        <v>305</v>
      </c>
      <c r="C111" s="33" t="s">
        <v>316</v>
      </c>
      <c r="D111" s="32" t="s">
        <v>317</v>
      </c>
      <c r="E111" s="33" t="s">
        <v>318</v>
      </c>
      <c r="F111" s="9" t="s">
        <v>70</v>
      </c>
      <c r="G111" s="35">
        <f t="shared" si="65"/>
        <v>0.5</v>
      </c>
      <c r="H111" s="9" t="s">
        <v>70</v>
      </c>
      <c r="I111" s="9">
        <f t="shared" si="66"/>
        <v>0.5</v>
      </c>
      <c r="J111" s="9">
        <f t="shared" si="64"/>
        <v>0.5</v>
      </c>
    </row>
    <row r="112" ht="36">
      <c r="A112" s="31" t="s">
        <v>25</v>
      </c>
      <c r="B112" s="32" t="s">
        <v>305</v>
      </c>
      <c r="C112" s="33" t="s">
        <v>316</v>
      </c>
      <c r="D112" s="32" t="s">
        <v>317</v>
      </c>
      <c r="E112" s="33" t="s">
        <v>319</v>
      </c>
      <c r="F112" s="9" t="s">
        <v>70</v>
      </c>
      <c r="G112" s="35">
        <f t="shared" si="65"/>
        <v>0.5</v>
      </c>
      <c r="H112" s="9" t="s">
        <v>70</v>
      </c>
      <c r="I112" s="9">
        <f t="shared" si="66"/>
        <v>0.5</v>
      </c>
      <c r="J112" s="9">
        <f t="shared" si="64"/>
        <v>0.5</v>
      </c>
    </row>
    <row r="113" ht="36">
      <c r="A113" s="31" t="s">
        <v>25</v>
      </c>
      <c r="B113" s="32" t="s">
        <v>305</v>
      </c>
      <c r="C113" s="33" t="s">
        <v>320</v>
      </c>
      <c r="D113" s="32" t="s">
        <v>321</v>
      </c>
      <c r="E113" s="33" t="s">
        <v>322</v>
      </c>
      <c r="F113" s="9" t="s">
        <v>70</v>
      </c>
      <c r="G113" s="35">
        <f t="shared" si="65"/>
        <v>0.5</v>
      </c>
      <c r="H113" s="9" t="s">
        <v>70</v>
      </c>
      <c r="I113" s="9">
        <f t="shared" si="66"/>
        <v>0.5</v>
      </c>
      <c r="J113" s="9">
        <f t="shared" si="64"/>
        <v>0.5</v>
      </c>
    </row>
    <row r="114" ht="36">
      <c r="A114" s="31" t="s">
        <v>25</v>
      </c>
      <c r="B114" s="32" t="s">
        <v>305</v>
      </c>
      <c r="C114" s="33" t="s">
        <v>320</v>
      </c>
      <c r="D114" s="32" t="s">
        <v>321</v>
      </c>
      <c r="E114" s="33" t="s">
        <v>323</v>
      </c>
      <c r="F114" s="9" t="s">
        <v>70</v>
      </c>
      <c r="G114" s="35">
        <f t="shared" si="65"/>
        <v>0.5</v>
      </c>
      <c r="H114" s="9" t="s">
        <v>70</v>
      </c>
      <c r="I114" s="9">
        <f t="shared" si="66"/>
        <v>0.5</v>
      </c>
      <c r="J114" s="9">
        <f t="shared" si="64"/>
        <v>0.5</v>
      </c>
    </row>
    <row r="115" ht="36">
      <c r="A115" s="31" t="s">
        <v>25</v>
      </c>
      <c r="B115" s="32" t="s">
        <v>305</v>
      </c>
      <c r="C115" s="33" t="s">
        <v>320</v>
      </c>
      <c r="D115" s="32" t="s">
        <v>321</v>
      </c>
      <c r="E115" s="33" t="s">
        <v>324</v>
      </c>
      <c r="F115" s="9" t="s">
        <v>70</v>
      </c>
      <c r="G115" s="35">
        <f t="shared" si="65"/>
        <v>0.5</v>
      </c>
      <c r="H115" s="9" t="s">
        <v>70</v>
      </c>
      <c r="I115" s="9">
        <f t="shared" si="66"/>
        <v>0.5</v>
      </c>
      <c r="J115" s="9">
        <f t="shared" si="64"/>
        <v>0.5</v>
      </c>
    </row>
    <row r="116" ht="54">
      <c r="A116" s="31" t="s">
        <v>29</v>
      </c>
      <c r="B116" s="32" t="s">
        <v>222</v>
      </c>
      <c r="C116" s="33" t="s">
        <v>223</v>
      </c>
      <c r="D116" s="32" t="s">
        <v>224</v>
      </c>
      <c r="E116" s="33" t="s">
        <v>225</v>
      </c>
      <c r="F116" s="34" t="s">
        <v>22</v>
      </c>
      <c r="G116" s="35">
        <f t="shared" si="65"/>
        <v>1</v>
      </c>
      <c r="H116" s="9" t="s">
        <v>22</v>
      </c>
      <c r="I116" s="9">
        <f t="shared" si="66"/>
        <v>1</v>
      </c>
      <c r="J116" s="9">
        <f t="shared" si="64"/>
        <v>1</v>
      </c>
    </row>
    <row r="117" ht="36">
      <c r="A117" s="31" t="s">
        <v>29</v>
      </c>
      <c r="B117" s="32" t="s">
        <v>222</v>
      </c>
      <c r="C117" s="33" t="s">
        <v>223</v>
      </c>
      <c r="D117" s="32" t="s">
        <v>224</v>
      </c>
      <c r="E117" s="33" t="s">
        <v>226</v>
      </c>
      <c r="F117" s="34" t="s">
        <v>22</v>
      </c>
      <c r="G117" s="35">
        <f t="shared" si="65"/>
        <v>1</v>
      </c>
      <c r="H117" s="9" t="s">
        <v>70</v>
      </c>
      <c r="I117" s="9">
        <f t="shared" si="66"/>
        <v>0.5</v>
      </c>
      <c r="J117" s="9">
        <f t="shared" si="64"/>
        <v>0.75</v>
      </c>
    </row>
    <row r="118" ht="72">
      <c r="A118" s="31" t="s">
        <v>29</v>
      </c>
      <c r="B118" s="32" t="s">
        <v>222</v>
      </c>
      <c r="C118" s="33" t="s">
        <v>223</v>
      </c>
      <c r="D118" s="32" t="s">
        <v>224</v>
      </c>
      <c r="E118" s="33" t="s">
        <v>227</v>
      </c>
      <c r="F118" s="34" t="s">
        <v>22</v>
      </c>
      <c r="G118" s="35">
        <f t="shared" si="65"/>
        <v>1</v>
      </c>
      <c r="H118" s="9" t="s">
        <v>22</v>
      </c>
      <c r="I118" s="9">
        <f t="shared" si="66"/>
        <v>1</v>
      </c>
      <c r="J118" s="9">
        <f t="shared" si="64"/>
        <v>1</v>
      </c>
    </row>
    <row r="119" ht="72">
      <c r="A119" s="31" t="s">
        <v>29</v>
      </c>
      <c r="B119" s="32" t="s">
        <v>222</v>
      </c>
      <c r="C119" s="33" t="s">
        <v>228</v>
      </c>
      <c r="D119" s="32" t="s">
        <v>229</v>
      </c>
      <c r="E119" s="33" t="s">
        <v>230</v>
      </c>
      <c r="F119" s="34" t="s">
        <v>22</v>
      </c>
      <c r="G119" s="35">
        <f t="shared" si="65"/>
        <v>1</v>
      </c>
      <c r="H119" s="9" t="s">
        <v>22</v>
      </c>
      <c r="I119" s="9">
        <f t="shared" si="66"/>
        <v>1</v>
      </c>
      <c r="J119" s="9">
        <f t="shared" si="64"/>
        <v>1</v>
      </c>
    </row>
    <row r="120" ht="72">
      <c r="A120" s="31" t="s">
        <v>29</v>
      </c>
      <c r="B120" s="32" t="s">
        <v>222</v>
      </c>
      <c r="C120" s="33" t="s">
        <v>228</v>
      </c>
      <c r="D120" s="32" t="s">
        <v>229</v>
      </c>
      <c r="E120" s="33" t="s">
        <v>231</v>
      </c>
      <c r="F120" s="34" t="s">
        <v>22</v>
      </c>
      <c r="G120" s="35">
        <f t="shared" si="65"/>
        <v>1</v>
      </c>
      <c r="H120" s="9" t="s">
        <v>22</v>
      </c>
      <c r="I120" s="9">
        <f t="shared" si="66"/>
        <v>1</v>
      </c>
      <c r="J120" s="9">
        <f t="shared" si="64"/>
        <v>1</v>
      </c>
    </row>
    <row r="121" ht="72">
      <c r="A121" s="31" t="s">
        <v>29</v>
      </c>
      <c r="B121" s="32" t="s">
        <v>222</v>
      </c>
      <c r="C121" s="33" t="s">
        <v>232</v>
      </c>
      <c r="D121" s="32" t="s">
        <v>233</v>
      </c>
      <c r="E121" s="33" t="s">
        <v>234</v>
      </c>
      <c r="F121" s="34" t="s">
        <v>70</v>
      </c>
      <c r="G121" s="35">
        <f t="shared" si="65"/>
        <v>0.5</v>
      </c>
      <c r="H121" s="9" t="s">
        <v>70</v>
      </c>
      <c r="I121" s="9">
        <f t="shared" si="66"/>
        <v>0.5</v>
      </c>
      <c r="J121" s="9">
        <f t="shared" si="64"/>
        <v>0.5</v>
      </c>
    </row>
    <row r="122" ht="72">
      <c r="A122" s="31" t="s">
        <v>29</v>
      </c>
      <c r="B122" s="32" t="s">
        <v>222</v>
      </c>
      <c r="C122" s="33" t="s">
        <v>232</v>
      </c>
      <c r="D122" s="32" t="s">
        <v>233</v>
      </c>
      <c r="E122" s="33" t="s">
        <v>235</v>
      </c>
      <c r="F122" s="34" t="s">
        <v>70</v>
      </c>
      <c r="G122" s="35">
        <f t="shared" si="65"/>
        <v>0.5</v>
      </c>
      <c r="H122" s="9" t="s">
        <v>70</v>
      </c>
      <c r="I122" s="9">
        <f t="shared" si="66"/>
        <v>0.5</v>
      </c>
      <c r="J122" s="9">
        <f t="shared" si="64"/>
        <v>0.5</v>
      </c>
    </row>
    <row r="123" ht="72">
      <c r="A123" s="31" t="s">
        <v>29</v>
      </c>
      <c r="B123" s="32" t="s">
        <v>222</v>
      </c>
      <c r="C123" s="33" t="s">
        <v>232</v>
      </c>
      <c r="D123" s="32" t="s">
        <v>233</v>
      </c>
      <c r="E123" s="33" t="s">
        <v>236</v>
      </c>
      <c r="F123" s="34" t="s">
        <v>22</v>
      </c>
      <c r="G123" s="35">
        <f t="shared" si="65"/>
        <v>1</v>
      </c>
      <c r="H123" s="9" t="s">
        <v>22</v>
      </c>
      <c r="I123" s="9">
        <f t="shared" si="66"/>
        <v>1</v>
      </c>
      <c r="J123" s="9">
        <f t="shared" si="64"/>
        <v>1</v>
      </c>
    </row>
    <row r="124" ht="72">
      <c r="A124" s="31" t="s">
        <v>29</v>
      </c>
      <c r="B124" s="32" t="s">
        <v>222</v>
      </c>
      <c r="C124" s="33" t="s">
        <v>237</v>
      </c>
      <c r="D124" s="32" t="s">
        <v>238</v>
      </c>
      <c r="E124" s="33" t="s">
        <v>239</v>
      </c>
      <c r="F124" s="34" t="s">
        <v>70</v>
      </c>
      <c r="G124" s="35">
        <f t="shared" si="65"/>
        <v>0.5</v>
      </c>
      <c r="H124" s="9" t="s">
        <v>70</v>
      </c>
      <c r="I124" s="9">
        <f t="shared" si="66"/>
        <v>0.5</v>
      </c>
      <c r="J124" s="9">
        <f t="shared" si="64"/>
        <v>0.5</v>
      </c>
    </row>
    <row r="125" ht="54">
      <c r="A125" s="31" t="s">
        <v>29</v>
      </c>
      <c r="B125" s="32" t="s">
        <v>222</v>
      </c>
      <c r="C125" s="33" t="s">
        <v>237</v>
      </c>
      <c r="D125" s="32" t="s">
        <v>238</v>
      </c>
      <c r="E125" s="33" t="s">
        <v>240</v>
      </c>
      <c r="F125" s="34" t="s">
        <v>22</v>
      </c>
      <c r="G125" s="35">
        <f t="shared" si="65"/>
        <v>1</v>
      </c>
      <c r="H125" s="9" t="s">
        <v>22</v>
      </c>
      <c r="I125" s="9">
        <f t="shared" si="66"/>
        <v>1</v>
      </c>
      <c r="J125" s="9">
        <f t="shared" si="64"/>
        <v>1</v>
      </c>
    </row>
    <row r="126" ht="54">
      <c r="A126" s="31" t="s">
        <v>29</v>
      </c>
      <c r="B126" s="32" t="s">
        <v>222</v>
      </c>
      <c r="C126" s="33" t="s">
        <v>241</v>
      </c>
      <c r="D126" s="32" t="s">
        <v>242</v>
      </c>
      <c r="E126" s="33" t="s">
        <v>243</v>
      </c>
      <c r="F126" s="34" t="s">
        <v>22</v>
      </c>
      <c r="G126" s="35">
        <f t="shared" si="65"/>
        <v>1</v>
      </c>
      <c r="H126" s="9" t="s">
        <v>22</v>
      </c>
      <c r="I126" s="9">
        <f t="shared" si="66"/>
        <v>1</v>
      </c>
      <c r="J126" s="9">
        <f t="shared" si="64"/>
        <v>1</v>
      </c>
    </row>
    <row r="127" ht="54">
      <c r="A127" s="31" t="s">
        <v>29</v>
      </c>
      <c r="B127" s="32" t="s">
        <v>222</v>
      </c>
      <c r="C127" s="33" t="s">
        <v>241</v>
      </c>
      <c r="D127" s="32" t="s">
        <v>242</v>
      </c>
      <c r="E127" s="33" t="s">
        <v>244</v>
      </c>
      <c r="F127" s="34" t="s">
        <v>22</v>
      </c>
      <c r="G127" s="35">
        <f t="shared" si="65"/>
        <v>1</v>
      </c>
      <c r="H127" s="9" t="s">
        <v>22</v>
      </c>
      <c r="I127" s="9">
        <f t="shared" si="66"/>
        <v>1</v>
      </c>
      <c r="J127" s="9">
        <f t="shared" si="64"/>
        <v>1</v>
      </c>
    </row>
    <row r="128" ht="72">
      <c r="A128" s="31" t="s">
        <v>29</v>
      </c>
      <c r="B128" s="32" t="s">
        <v>222</v>
      </c>
      <c r="C128" s="33" t="s">
        <v>241</v>
      </c>
      <c r="D128" s="32" t="s">
        <v>242</v>
      </c>
      <c r="E128" s="33" t="s">
        <v>245</v>
      </c>
      <c r="F128" s="34" t="s">
        <v>70</v>
      </c>
      <c r="G128" s="35">
        <f t="shared" si="65"/>
        <v>0.5</v>
      </c>
      <c r="H128" s="9" t="s">
        <v>70</v>
      </c>
      <c r="I128" s="9">
        <f t="shared" si="66"/>
        <v>0.5</v>
      </c>
      <c r="J128" s="9">
        <f t="shared" si="64"/>
        <v>0.5</v>
      </c>
    </row>
    <row r="129" ht="72">
      <c r="A129" s="31" t="s">
        <v>29</v>
      </c>
      <c r="B129" s="32" t="s">
        <v>246</v>
      </c>
      <c r="C129" s="33" t="s">
        <v>247</v>
      </c>
      <c r="D129" s="32" t="s">
        <v>248</v>
      </c>
      <c r="E129" s="33" t="s">
        <v>249</v>
      </c>
      <c r="F129" s="34" t="s">
        <v>22</v>
      </c>
      <c r="G129" s="35">
        <f t="shared" si="65"/>
        <v>1</v>
      </c>
      <c r="H129" s="9" t="s">
        <v>22</v>
      </c>
      <c r="I129" s="9">
        <f t="shared" si="66"/>
        <v>1</v>
      </c>
      <c r="J129" s="9">
        <f t="shared" si="64"/>
        <v>1</v>
      </c>
    </row>
    <row r="130" ht="54">
      <c r="A130" s="31" t="s">
        <v>29</v>
      </c>
      <c r="B130" s="32" t="s">
        <v>246</v>
      </c>
      <c r="C130" s="33" t="s">
        <v>247</v>
      </c>
      <c r="D130" s="32" t="s">
        <v>248</v>
      </c>
      <c r="E130" s="33" t="s">
        <v>250</v>
      </c>
      <c r="F130" s="34" t="s">
        <v>22</v>
      </c>
      <c r="G130" s="35">
        <f t="shared" si="65"/>
        <v>1</v>
      </c>
      <c r="H130" s="9" t="s">
        <v>22</v>
      </c>
      <c r="I130" s="9">
        <f t="shared" si="66"/>
        <v>1</v>
      </c>
      <c r="J130" s="9">
        <f t="shared" si="64"/>
        <v>1</v>
      </c>
    </row>
    <row r="131" ht="72">
      <c r="A131" s="31" t="s">
        <v>29</v>
      </c>
      <c r="B131" s="32" t="s">
        <v>246</v>
      </c>
      <c r="C131" s="33" t="s">
        <v>251</v>
      </c>
      <c r="D131" s="32" t="s">
        <v>252</v>
      </c>
      <c r="E131" s="33" t="s">
        <v>253</v>
      </c>
      <c r="F131" s="34" t="s">
        <v>22</v>
      </c>
      <c r="G131" s="35">
        <f t="shared" si="65"/>
        <v>1</v>
      </c>
      <c r="H131" s="9" t="s">
        <v>22</v>
      </c>
      <c r="I131" s="9">
        <f t="shared" si="66"/>
        <v>1</v>
      </c>
      <c r="J131" s="9">
        <f t="shared" si="64"/>
        <v>1</v>
      </c>
    </row>
    <row r="132" ht="72">
      <c r="A132" s="31" t="s">
        <v>29</v>
      </c>
      <c r="B132" s="32" t="s">
        <v>246</v>
      </c>
      <c r="C132" s="33" t="s">
        <v>251</v>
      </c>
      <c r="D132" s="32" t="s">
        <v>252</v>
      </c>
      <c r="E132" s="33" t="s">
        <v>254</v>
      </c>
      <c r="F132" s="34" t="s">
        <v>22</v>
      </c>
      <c r="G132" s="35">
        <f t="shared" si="65"/>
        <v>1</v>
      </c>
      <c r="H132" s="9" t="s">
        <v>22</v>
      </c>
      <c r="I132" s="9">
        <f t="shared" si="66"/>
        <v>1</v>
      </c>
      <c r="J132" s="9">
        <f t="shared" ref="J132:J195" si="67">AVERAGE(G132,I132)</f>
        <v>1</v>
      </c>
    </row>
    <row r="133" ht="54">
      <c r="A133" s="31" t="s">
        <v>29</v>
      </c>
      <c r="B133" s="32" t="s">
        <v>246</v>
      </c>
      <c r="C133" s="33" t="s">
        <v>251</v>
      </c>
      <c r="D133" s="32" t="s">
        <v>252</v>
      </c>
      <c r="E133" s="33" t="s">
        <v>255</v>
      </c>
      <c r="F133" s="34" t="s">
        <v>22</v>
      </c>
      <c r="G133" s="35">
        <f t="shared" ref="G133:G196" si="68">IF(F133="Cumple",1,IF(F133="Cumple Parcialmente",0.5,IF(F133="No Cumple",0,"")))</f>
        <v>1</v>
      </c>
      <c r="H133" s="9" t="s">
        <v>22</v>
      </c>
      <c r="I133" s="9">
        <f t="shared" ref="I133:I196" si="69">IF(H133="Cumple",1,IF(H133="Cumple Parcialmente",0.5,IF(H133="No Cumple",0,"")))</f>
        <v>1</v>
      </c>
      <c r="J133" s="9">
        <f t="shared" si="67"/>
        <v>1</v>
      </c>
    </row>
    <row r="134" ht="72">
      <c r="A134" s="31" t="s">
        <v>29</v>
      </c>
      <c r="B134" s="32" t="s">
        <v>246</v>
      </c>
      <c r="C134" s="33" t="s">
        <v>256</v>
      </c>
      <c r="D134" s="32" t="s">
        <v>257</v>
      </c>
      <c r="E134" s="33" t="s">
        <v>258</v>
      </c>
      <c r="F134" s="34" t="s">
        <v>22</v>
      </c>
      <c r="G134" s="35">
        <f t="shared" si="68"/>
        <v>1</v>
      </c>
      <c r="H134" s="9" t="s">
        <v>22</v>
      </c>
      <c r="I134" s="9">
        <f t="shared" si="69"/>
        <v>1</v>
      </c>
      <c r="J134" s="9">
        <f t="shared" si="67"/>
        <v>1</v>
      </c>
    </row>
    <row r="135" ht="72">
      <c r="A135" s="31" t="s">
        <v>29</v>
      </c>
      <c r="B135" s="32" t="s">
        <v>246</v>
      </c>
      <c r="C135" s="33" t="s">
        <v>256</v>
      </c>
      <c r="D135" s="32" t="s">
        <v>257</v>
      </c>
      <c r="E135" s="33" t="s">
        <v>259</v>
      </c>
      <c r="F135" s="34" t="s">
        <v>22</v>
      </c>
      <c r="G135" s="35">
        <f t="shared" si="68"/>
        <v>1</v>
      </c>
      <c r="H135" s="9" t="s">
        <v>22</v>
      </c>
      <c r="I135" s="9">
        <f t="shared" si="69"/>
        <v>1</v>
      </c>
      <c r="J135" s="9">
        <f t="shared" si="67"/>
        <v>1</v>
      </c>
    </row>
    <row r="136" ht="54">
      <c r="A136" s="31" t="s">
        <v>29</v>
      </c>
      <c r="B136" s="32" t="s">
        <v>260</v>
      </c>
      <c r="C136" s="33" t="s">
        <v>261</v>
      </c>
      <c r="D136" s="32" t="s">
        <v>262</v>
      </c>
      <c r="E136" s="33" t="s">
        <v>263</v>
      </c>
      <c r="F136" s="34" t="s">
        <v>22</v>
      </c>
      <c r="G136" s="35">
        <f t="shared" si="68"/>
        <v>1</v>
      </c>
      <c r="H136" s="9" t="s">
        <v>22</v>
      </c>
      <c r="I136" s="9">
        <f t="shared" si="69"/>
        <v>1</v>
      </c>
      <c r="J136" s="9">
        <f t="shared" si="67"/>
        <v>1</v>
      </c>
    </row>
    <row r="137" ht="54">
      <c r="A137" s="31" t="s">
        <v>29</v>
      </c>
      <c r="B137" s="32" t="s">
        <v>260</v>
      </c>
      <c r="C137" s="33" t="s">
        <v>261</v>
      </c>
      <c r="D137" s="32" t="s">
        <v>262</v>
      </c>
      <c r="E137" s="33" t="s">
        <v>264</v>
      </c>
      <c r="F137" s="34" t="s">
        <v>70</v>
      </c>
      <c r="G137" s="35">
        <f t="shared" si="68"/>
        <v>0.5</v>
      </c>
      <c r="H137" s="9" t="s">
        <v>53</v>
      </c>
      <c r="I137" s="9">
        <f t="shared" si="69"/>
        <v>0</v>
      </c>
      <c r="J137" s="9">
        <f t="shared" si="67"/>
        <v>0.25</v>
      </c>
    </row>
    <row r="138" ht="54">
      <c r="A138" s="31" t="s">
        <v>29</v>
      </c>
      <c r="B138" s="32" t="s">
        <v>260</v>
      </c>
      <c r="C138" s="33" t="s">
        <v>261</v>
      </c>
      <c r="D138" s="32" t="s">
        <v>262</v>
      </c>
      <c r="E138" s="33" t="s">
        <v>265</v>
      </c>
      <c r="F138" s="34" t="s">
        <v>22</v>
      </c>
      <c r="G138" s="35">
        <f t="shared" si="68"/>
        <v>1</v>
      </c>
      <c r="H138" s="9" t="s">
        <v>22</v>
      </c>
      <c r="I138" s="9">
        <f t="shared" si="69"/>
        <v>1</v>
      </c>
      <c r="J138" s="9">
        <f t="shared" si="67"/>
        <v>1</v>
      </c>
    </row>
    <row r="139" ht="72">
      <c r="A139" s="31" t="s">
        <v>29</v>
      </c>
      <c r="B139" s="32" t="s">
        <v>260</v>
      </c>
      <c r="C139" s="32" t="s">
        <v>266</v>
      </c>
      <c r="D139" s="33" t="s">
        <v>267</v>
      </c>
      <c r="E139" s="33" t="s">
        <v>268</v>
      </c>
      <c r="F139" s="34" t="s">
        <v>22</v>
      </c>
      <c r="G139" s="35">
        <f t="shared" si="68"/>
        <v>1</v>
      </c>
      <c r="H139" s="9" t="s">
        <v>22</v>
      </c>
      <c r="I139" s="9">
        <f t="shared" si="69"/>
        <v>1</v>
      </c>
      <c r="J139" s="9">
        <f t="shared" si="67"/>
        <v>1</v>
      </c>
    </row>
    <row r="140" ht="72">
      <c r="A140" s="31" t="s">
        <v>29</v>
      </c>
      <c r="B140" s="32" t="s">
        <v>260</v>
      </c>
      <c r="C140" s="32" t="s">
        <v>266</v>
      </c>
      <c r="D140" s="33" t="s">
        <v>267</v>
      </c>
      <c r="E140" s="33" t="s">
        <v>269</v>
      </c>
      <c r="F140" s="34" t="s">
        <v>53</v>
      </c>
      <c r="G140" s="35">
        <f t="shared" si="68"/>
        <v>0</v>
      </c>
      <c r="H140" s="9" t="s">
        <v>53</v>
      </c>
      <c r="I140" s="9">
        <f t="shared" si="69"/>
        <v>0</v>
      </c>
      <c r="J140" s="9">
        <f t="shared" si="67"/>
        <v>0</v>
      </c>
    </row>
    <row r="141" ht="72">
      <c r="A141" s="31" t="s">
        <v>29</v>
      </c>
      <c r="B141" s="32" t="s">
        <v>260</v>
      </c>
      <c r="C141" s="32" t="s">
        <v>266</v>
      </c>
      <c r="D141" s="33" t="s">
        <v>267</v>
      </c>
      <c r="E141" s="33" t="s">
        <v>270</v>
      </c>
      <c r="F141" s="34" t="s">
        <v>22</v>
      </c>
      <c r="G141" s="35">
        <f t="shared" si="68"/>
        <v>1</v>
      </c>
      <c r="H141" s="9" t="s">
        <v>22</v>
      </c>
      <c r="I141" s="9">
        <f t="shared" si="69"/>
        <v>1</v>
      </c>
      <c r="J141" s="9">
        <f t="shared" si="67"/>
        <v>1</v>
      </c>
    </row>
    <row r="142" ht="72">
      <c r="A142" s="31" t="s">
        <v>29</v>
      </c>
      <c r="B142" s="32" t="s">
        <v>260</v>
      </c>
      <c r="C142" s="33" t="s">
        <v>271</v>
      </c>
      <c r="D142" s="32" t="s">
        <v>272</v>
      </c>
      <c r="E142" s="33" t="s">
        <v>273</v>
      </c>
      <c r="F142" s="34" t="s">
        <v>22</v>
      </c>
      <c r="G142" s="35">
        <f t="shared" si="68"/>
        <v>1</v>
      </c>
      <c r="H142" s="9" t="s">
        <v>22</v>
      </c>
      <c r="I142" s="9">
        <f t="shared" si="69"/>
        <v>1</v>
      </c>
      <c r="J142" s="9">
        <f t="shared" si="67"/>
        <v>1</v>
      </c>
    </row>
    <row r="143" ht="72">
      <c r="A143" s="31" t="s">
        <v>29</v>
      </c>
      <c r="B143" s="32" t="s">
        <v>260</v>
      </c>
      <c r="C143" s="33" t="s">
        <v>271</v>
      </c>
      <c r="D143" s="32" t="s">
        <v>272</v>
      </c>
      <c r="E143" s="33" t="s">
        <v>274</v>
      </c>
      <c r="F143" s="34" t="s">
        <v>22</v>
      </c>
      <c r="G143" s="35">
        <f t="shared" si="68"/>
        <v>1</v>
      </c>
      <c r="H143" s="9" t="s">
        <v>22</v>
      </c>
      <c r="I143" s="9">
        <f t="shared" si="69"/>
        <v>1</v>
      </c>
      <c r="J143" s="9">
        <f t="shared" si="67"/>
        <v>1</v>
      </c>
    </row>
    <row r="144" ht="90">
      <c r="A144" s="31" t="s">
        <v>29</v>
      </c>
      <c r="B144" s="32" t="s">
        <v>260</v>
      </c>
      <c r="C144" s="33" t="s">
        <v>271</v>
      </c>
      <c r="D144" s="32" t="s">
        <v>272</v>
      </c>
      <c r="E144" s="33" t="s">
        <v>275</v>
      </c>
      <c r="F144" s="34" t="s">
        <v>22</v>
      </c>
      <c r="G144" s="35">
        <f t="shared" si="68"/>
        <v>1</v>
      </c>
      <c r="H144" s="9" t="s">
        <v>22</v>
      </c>
      <c r="I144" s="9">
        <f t="shared" si="69"/>
        <v>1</v>
      </c>
      <c r="J144" s="9">
        <f t="shared" si="67"/>
        <v>1</v>
      </c>
    </row>
    <row r="145" ht="54">
      <c r="A145" s="31" t="s">
        <v>29</v>
      </c>
      <c r="B145" s="32" t="s">
        <v>260</v>
      </c>
      <c r="C145" s="33" t="s">
        <v>276</v>
      </c>
      <c r="D145" s="32" t="s">
        <v>277</v>
      </c>
      <c r="E145" s="33" t="s">
        <v>278</v>
      </c>
      <c r="F145" s="34" t="s">
        <v>22</v>
      </c>
      <c r="G145" s="35">
        <f t="shared" si="68"/>
        <v>1</v>
      </c>
      <c r="H145" s="9" t="s">
        <v>22</v>
      </c>
      <c r="I145" s="9">
        <f t="shared" si="69"/>
        <v>1</v>
      </c>
      <c r="J145" s="9">
        <f t="shared" si="67"/>
        <v>1</v>
      </c>
    </row>
    <row r="146" ht="54">
      <c r="A146" s="31" t="s">
        <v>29</v>
      </c>
      <c r="B146" s="32" t="s">
        <v>260</v>
      </c>
      <c r="C146" s="33" t="s">
        <v>276</v>
      </c>
      <c r="D146" s="32" t="s">
        <v>277</v>
      </c>
      <c r="E146" s="33" t="s">
        <v>279</v>
      </c>
      <c r="F146" s="34" t="s">
        <v>70</v>
      </c>
      <c r="G146" s="35">
        <f t="shared" si="68"/>
        <v>0.5</v>
      </c>
      <c r="H146" s="9" t="s">
        <v>70</v>
      </c>
      <c r="I146" s="9">
        <f t="shared" si="69"/>
        <v>0.5</v>
      </c>
      <c r="J146" s="9">
        <f t="shared" si="67"/>
        <v>0.5</v>
      </c>
    </row>
    <row r="147" ht="54">
      <c r="A147" s="31" t="s">
        <v>29</v>
      </c>
      <c r="B147" s="32" t="s">
        <v>260</v>
      </c>
      <c r="C147" s="33" t="s">
        <v>276</v>
      </c>
      <c r="D147" s="32" t="s">
        <v>277</v>
      </c>
      <c r="E147" s="33" t="s">
        <v>280</v>
      </c>
      <c r="F147" s="34" t="s">
        <v>70</v>
      </c>
      <c r="G147" s="35">
        <f t="shared" si="68"/>
        <v>0.5</v>
      </c>
      <c r="H147" s="9" t="s">
        <v>70</v>
      </c>
      <c r="I147" s="9">
        <f t="shared" si="69"/>
        <v>0.5</v>
      </c>
      <c r="J147" s="9">
        <f t="shared" si="67"/>
        <v>0.5</v>
      </c>
    </row>
    <row r="148" ht="90">
      <c r="A148" s="31" t="s">
        <v>29</v>
      </c>
      <c r="B148" s="32" t="s">
        <v>260</v>
      </c>
      <c r="C148" s="33" t="s">
        <v>281</v>
      </c>
      <c r="D148" s="32" t="s">
        <v>282</v>
      </c>
      <c r="E148" s="33" t="s">
        <v>283</v>
      </c>
      <c r="F148" s="9" t="s">
        <v>22</v>
      </c>
      <c r="G148" s="35">
        <f t="shared" si="68"/>
        <v>1</v>
      </c>
      <c r="H148" s="9" t="s">
        <v>22</v>
      </c>
      <c r="I148" s="9">
        <f t="shared" si="69"/>
        <v>1</v>
      </c>
      <c r="J148" s="9">
        <f t="shared" si="67"/>
        <v>1</v>
      </c>
    </row>
    <row r="149" ht="90">
      <c r="A149" s="31" t="s">
        <v>29</v>
      </c>
      <c r="B149" s="32" t="s">
        <v>260</v>
      </c>
      <c r="C149" s="33" t="s">
        <v>281</v>
      </c>
      <c r="D149" s="32" t="s">
        <v>282</v>
      </c>
      <c r="E149" s="33" t="s">
        <v>284</v>
      </c>
      <c r="F149" s="9" t="s">
        <v>22</v>
      </c>
      <c r="G149" s="35">
        <f t="shared" si="68"/>
        <v>1</v>
      </c>
      <c r="H149" s="9" t="s">
        <v>22</v>
      </c>
      <c r="I149" s="9">
        <f t="shared" si="69"/>
        <v>1</v>
      </c>
      <c r="J149" s="9">
        <f t="shared" si="67"/>
        <v>1</v>
      </c>
    </row>
    <row r="150" ht="36">
      <c r="A150" s="31" t="s">
        <v>29</v>
      </c>
      <c r="B150" s="32" t="s">
        <v>285</v>
      </c>
      <c r="C150" s="33" t="s">
        <v>286</v>
      </c>
      <c r="D150" s="32" t="s">
        <v>287</v>
      </c>
      <c r="E150" s="33" t="s">
        <v>288</v>
      </c>
      <c r="F150" s="9" t="s">
        <v>22</v>
      </c>
      <c r="G150" s="35">
        <f t="shared" si="68"/>
        <v>1</v>
      </c>
      <c r="H150" s="9" t="s">
        <v>22</v>
      </c>
      <c r="I150" s="9">
        <f t="shared" si="69"/>
        <v>1</v>
      </c>
      <c r="J150" s="9">
        <f t="shared" si="67"/>
        <v>1</v>
      </c>
    </row>
    <row r="151" ht="54">
      <c r="A151" s="31" t="s">
        <v>29</v>
      </c>
      <c r="B151" s="32" t="s">
        <v>285</v>
      </c>
      <c r="C151" s="33" t="s">
        <v>286</v>
      </c>
      <c r="D151" s="32" t="s">
        <v>287</v>
      </c>
      <c r="E151" s="33" t="s">
        <v>289</v>
      </c>
      <c r="F151" s="9" t="s">
        <v>70</v>
      </c>
      <c r="G151" s="35">
        <f t="shared" si="68"/>
        <v>0.5</v>
      </c>
      <c r="H151" s="9" t="s">
        <v>22</v>
      </c>
      <c r="I151" s="9">
        <f t="shared" si="69"/>
        <v>1</v>
      </c>
      <c r="J151" s="9">
        <f t="shared" si="67"/>
        <v>0.75</v>
      </c>
    </row>
    <row r="152" ht="90">
      <c r="A152" s="31" t="s">
        <v>29</v>
      </c>
      <c r="B152" s="32" t="s">
        <v>285</v>
      </c>
      <c r="C152" s="33" t="s">
        <v>290</v>
      </c>
      <c r="D152" s="32" t="s">
        <v>291</v>
      </c>
      <c r="E152" s="33" t="s">
        <v>292</v>
      </c>
      <c r="F152" s="9" t="s">
        <v>70</v>
      </c>
      <c r="G152" s="35">
        <f t="shared" si="68"/>
        <v>0.5</v>
      </c>
      <c r="H152" s="9" t="s">
        <v>70</v>
      </c>
      <c r="I152" s="9">
        <f t="shared" si="69"/>
        <v>0.5</v>
      </c>
      <c r="J152" s="9">
        <f t="shared" si="67"/>
        <v>0.5</v>
      </c>
    </row>
    <row r="153" ht="36">
      <c r="A153" s="31" t="s">
        <v>29</v>
      </c>
      <c r="B153" s="32" t="s">
        <v>285</v>
      </c>
      <c r="C153" s="33" t="s">
        <v>290</v>
      </c>
      <c r="D153" s="32" t="s">
        <v>291</v>
      </c>
      <c r="E153" s="33" t="s">
        <v>293</v>
      </c>
      <c r="F153" s="9" t="s">
        <v>53</v>
      </c>
      <c r="G153" s="35">
        <f t="shared" si="68"/>
        <v>0</v>
      </c>
      <c r="H153" s="9" t="s">
        <v>53</v>
      </c>
      <c r="I153" s="9">
        <f t="shared" si="69"/>
        <v>0</v>
      </c>
      <c r="J153" s="9">
        <f t="shared" si="67"/>
        <v>0</v>
      </c>
    </row>
    <row r="154" ht="72">
      <c r="A154" s="31" t="s">
        <v>29</v>
      </c>
      <c r="B154" s="32" t="s">
        <v>285</v>
      </c>
      <c r="C154" s="33" t="s">
        <v>290</v>
      </c>
      <c r="D154" s="32" t="s">
        <v>291</v>
      </c>
      <c r="E154" s="33" t="s">
        <v>294</v>
      </c>
      <c r="F154" s="9" t="s">
        <v>53</v>
      </c>
      <c r="G154" s="35">
        <f t="shared" si="68"/>
        <v>0</v>
      </c>
      <c r="H154" s="9" t="s">
        <v>53</v>
      </c>
      <c r="I154" s="9">
        <f t="shared" si="69"/>
        <v>0</v>
      </c>
      <c r="J154" s="9">
        <f t="shared" si="67"/>
        <v>0</v>
      </c>
    </row>
    <row r="155" ht="54">
      <c r="A155" s="31" t="s">
        <v>29</v>
      </c>
      <c r="B155" s="32" t="s">
        <v>285</v>
      </c>
      <c r="C155" s="33" t="s">
        <v>295</v>
      </c>
      <c r="D155" s="32" t="s">
        <v>296</v>
      </c>
      <c r="E155" s="33" t="s">
        <v>297</v>
      </c>
      <c r="F155" s="9" t="s">
        <v>53</v>
      </c>
      <c r="G155" s="35">
        <f t="shared" si="68"/>
        <v>0</v>
      </c>
      <c r="H155" s="9" t="s">
        <v>53</v>
      </c>
      <c r="I155" s="9">
        <f t="shared" si="69"/>
        <v>0</v>
      </c>
      <c r="J155" s="9">
        <f t="shared" si="67"/>
        <v>0</v>
      </c>
    </row>
    <row r="156" ht="72">
      <c r="A156" s="31" t="s">
        <v>29</v>
      </c>
      <c r="B156" s="32" t="s">
        <v>285</v>
      </c>
      <c r="C156" s="33" t="s">
        <v>295</v>
      </c>
      <c r="D156" s="32" t="s">
        <v>296</v>
      </c>
      <c r="E156" s="33" t="s">
        <v>298</v>
      </c>
      <c r="F156" s="9" t="s">
        <v>53</v>
      </c>
      <c r="G156" s="35">
        <f t="shared" si="68"/>
        <v>0</v>
      </c>
      <c r="H156" s="9" t="s">
        <v>53</v>
      </c>
      <c r="I156" s="9">
        <f t="shared" si="69"/>
        <v>0</v>
      </c>
      <c r="J156" s="9">
        <f t="shared" si="67"/>
        <v>0</v>
      </c>
    </row>
    <row r="157" ht="54">
      <c r="A157" s="31" t="s">
        <v>29</v>
      </c>
      <c r="B157" s="32" t="s">
        <v>285</v>
      </c>
      <c r="C157" s="33" t="s">
        <v>295</v>
      </c>
      <c r="D157" s="32" t="s">
        <v>296</v>
      </c>
      <c r="E157" s="33" t="s">
        <v>299</v>
      </c>
      <c r="F157" s="9" t="s">
        <v>70</v>
      </c>
      <c r="G157" s="35">
        <f t="shared" si="68"/>
        <v>0.5</v>
      </c>
      <c r="H157" s="9" t="s">
        <v>70</v>
      </c>
      <c r="I157" s="9">
        <f t="shared" si="69"/>
        <v>0.5</v>
      </c>
      <c r="J157" s="9">
        <f t="shared" si="67"/>
        <v>0.5</v>
      </c>
    </row>
    <row r="158" ht="36">
      <c r="A158" s="31" t="s">
        <v>29</v>
      </c>
      <c r="B158" s="32" t="s">
        <v>285</v>
      </c>
      <c r="C158" s="33" t="s">
        <v>300</v>
      </c>
      <c r="D158" s="32" t="s">
        <v>301</v>
      </c>
      <c r="E158" s="33" t="s">
        <v>302</v>
      </c>
      <c r="F158" s="9" t="s">
        <v>70</v>
      </c>
      <c r="G158" s="35">
        <f t="shared" si="68"/>
        <v>0.5</v>
      </c>
      <c r="H158" s="9" t="s">
        <v>70</v>
      </c>
      <c r="I158" s="9">
        <f t="shared" si="69"/>
        <v>0.5</v>
      </c>
      <c r="J158" s="9">
        <f t="shared" si="67"/>
        <v>0.5</v>
      </c>
    </row>
    <row r="159" ht="36">
      <c r="A159" s="31" t="s">
        <v>29</v>
      </c>
      <c r="B159" s="32" t="s">
        <v>285</v>
      </c>
      <c r="C159" s="33" t="s">
        <v>300</v>
      </c>
      <c r="D159" s="32" t="s">
        <v>301</v>
      </c>
      <c r="E159" s="33" t="s">
        <v>303</v>
      </c>
      <c r="F159" s="9" t="s">
        <v>70</v>
      </c>
      <c r="G159" s="35">
        <f t="shared" si="68"/>
        <v>0.5</v>
      </c>
      <c r="H159" s="9" t="s">
        <v>70</v>
      </c>
      <c r="I159" s="9">
        <f t="shared" si="69"/>
        <v>0.5</v>
      </c>
      <c r="J159" s="9">
        <f t="shared" si="67"/>
        <v>0.5</v>
      </c>
    </row>
    <row r="160" ht="36">
      <c r="A160" s="31" t="s">
        <v>29</v>
      </c>
      <c r="B160" s="32" t="s">
        <v>285</v>
      </c>
      <c r="C160" s="33" t="s">
        <v>300</v>
      </c>
      <c r="D160" s="32" t="s">
        <v>301</v>
      </c>
      <c r="E160" s="33" t="s">
        <v>304</v>
      </c>
      <c r="F160" s="9" t="s">
        <v>22</v>
      </c>
      <c r="G160" s="35">
        <f t="shared" si="68"/>
        <v>1</v>
      </c>
      <c r="H160" s="9" t="s">
        <v>22</v>
      </c>
      <c r="I160" s="9">
        <f t="shared" si="69"/>
        <v>1</v>
      </c>
      <c r="J160" s="9">
        <f t="shared" si="67"/>
        <v>1</v>
      </c>
    </row>
    <row r="161" ht="72">
      <c r="A161" s="31" t="s">
        <v>29</v>
      </c>
      <c r="B161" s="32" t="s">
        <v>305</v>
      </c>
      <c r="C161" s="33" t="s">
        <v>306</v>
      </c>
      <c r="D161" s="32" t="s">
        <v>307</v>
      </c>
      <c r="E161" s="33" t="s">
        <v>308</v>
      </c>
      <c r="F161" s="9" t="s">
        <v>22</v>
      </c>
      <c r="G161" s="35">
        <f t="shared" si="68"/>
        <v>1</v>
      </c>
      <c r="H161" s="9" t="s">
        <v>53</v>
      </c>
      <c r="I161" s="9">
        <f t="shared" si="69"/>
        <v>0</v>
      </c>
      <c r="J161" s="9">
        <f t="shared" si="67"/>
        <v>0.5</v>
      </c>
    </row>
    <row r="162" ht="72">
      <c r="A162" s="31" t="s">
        <v>29</v>
      </c>
      <c r="B162" s="32" t="s">
        <v>305</v>
      </c>
      <c r="C162" s="33" t="s">
        <v>306</v>
      </c>
      <c r="D162" s="32" t="s">
        <v>307</v>
      </c>
      <c r="E162" s="33" t="s">
        <v>309</v>
      </c>
      <c r="F162" s="9" t="s">
        <v>53</v>
      </c>
      <c r="G162" s="35">
        <f t="shared" si="68"/>
        <v>0</v>
      </c>
      <c r="H162" s="9" t="s">
        <v>22</v>
      </c>
      <c r="I162" s="9">
        <f t="shared" si="69"/>
        <v>1</v>
      </c>
      <c r="J162" s="9">
        <f t="shared" si="67"/>
        <v>0.5</v>
      </c>
    </row>
    <row r="163" ht="72">
      <c r="A163" s="31" t="s">
        <v>29</v>
      </c>
      <c r="B163" s="32" t="s">
        <v>305</v>
      </c>
      <c r="C163" s="33" t="s">
        <v>306</v>
      </c>
      <c r="D163" s="32" t="s">
        <v>307</v>
      </c>
      <c r="E163" s="33" t="s">
        <v>310</v>
      </c>
      <c r="F163" s="9" t="s">
        <v>22</v>
      </c>
      <c r="G163" s="35">
        <f t="shared" si="68"/>
        <v>1</v>
      </c>
      <c r="H163" s="9" t="s">
        <v>22</v>
      </c>
      <c r="I163" s="9">
        <f t="shared" si="69"/>
        <v>1</v>
      </c>
      <c r="J163" s="9">
        <f t="shared" si="67"/>
        <v>1</v>
      </c>
    </row>
    <row r="164" ht="36">
      <c r="A164" s="31" t="s">
        <v>29</v>
      </c>
      <c r="B164" s="32" t="s">
        <v>305</v>
      </c>
      <c r="C164" s="33" t="s">
        <v>311</v>
      </c>
      <c r="D164" s="32" t="s">
        <v>312</v>
      </c>
      <c r="E164" s="33" t="s">
        <v>313</v>
      </c>
      <c r="F164" s="9" t="s">
        <v>22</v>
      </c>
      <c r="G164" s="35">
        <f t="shared" si="68"/>
        <v>1</v>
      </c>
      <c r="H164" s="9" t="s">
        <v>22</v>
      </c>
      <c r="I164" s="9">
        <f t="shared" si="69"/>
        <v>1</v>
      </c>
      <c r="J164" s="9">
        <f t="shared" si="67"/>
        <v>1</v>
      </c>
    </row>
    <row r="165" ht="36">
      <c r="A165" s="31" t="s">
        <v>29</v>
      </c>
      <c r="B165" s="32" t="s">
        <v>305</v>
      </c>
      <c r="C165" s="33" t="s">
        <v>311</v>
      </c>
      <c r="D165" s="32" t="s">
        <v>312</v>
      </c>
      <c r="E165" s="33" t="s">
        <v>314</v>
      </c>
      <c r="F165" s="9" t="s">
        <v>22</v>
      </c>
      <c r="G165" s="35">
        <f t="shared" si="68"/>
        <v>1</v>
      </c>
      <c r="H165" s="9" t="s">
        <v>22</v>
      </c>
      <c r="I165" s="9">
        <f t="shared" si="69"/>
        <v>1</v>
      </c>
      <c r="J165" s="9">
        <f t="shared" si="67"/>
        <v>1</v>
      </c>
    </row>
    <row r="166" ht="36">
      <c r="A166" s="31" t="s">
        <v>29</v>
      </c>
      <c r="B166" s="32" t="s">
        <v>305</v>
      </c>
      <c r="C166" s="33" t="s">
        <v>311</v>
      </c>
      <c r="D166" s="32" t="s">
        <v>312</v>
      </c>
      <c r="E166" s="33" t="s">
        <v>315</v>
      </c>
      <c r="F166" s="9" t="s">
        <v>22</v>
      </c>
      <c r="G166" s="35">
        <f t="shared" si="68"/>
        <v>1</v>
      </c>
      <c r="H166" s="9" t="s">
        <v>22</v>
      </c>
      <c r="I166" s="9">
        <f t="shared" si="69"/>
        <v>1</v>
      </c>
      <c r="J166" s="9">
        <f t="shared" si="67"/>
        <v>1</v>
      </c>
    </row>
    <row r="167" ht="36">
      <c r="A167" s="31" t="s">
        <v>29</v>
      </c>
      <c r="B167" s="32" t="s">
        <v>305</v>
      </c>
      <c r="C167" s="33" t="s">
        <v>316</v>
      </c>
      <c r="D167" s="32" t="s">
        <v>317</v>
      </c>
      <c r="E167" s="33" t="s">
        <v>318</v>
      </c>
      <c r="F167" s="9" t="s">
        <v>53</v>
      </c>
      <c r="G167" s="35">
        <f t="shared" si="68"/>
        <v>0</v>
      </c>
      <c r="H167" s="9" t="s">
        <v>53</v>
      </c>
      <c r="I167" s="9">
        <f t="shared" si="69"/>
        <v>0</v>
      </c>
      <c r="J167" s="9">
        <f t="shared" si="67"/>
        <v>0</v>
      </c>
    </row>
    <row r="168" ht="36">
      <c r="A168" s="31" t="s">
        <v>29</v>
      </c>
      <c r="B168" s="32" t="s">
        <v>305</v>
      </c>
      <c r="C168" s="33" t="s">
        <v>316</v>
      </c>
      <c r="D168" s="32" t="s">
        <v>317</v>
      </c>
      <c r="E168" s="33" t="s">
        <v>319</v>
      </c>
      <c r="F168" s="9" t="s">
        <v>53</v>
      </c>
      <c r="G168" s="35">
        <f t="shared" si="68"/>
        <v>0</v>
      </c>
      <c r="H168" s="9" t="s">
        <v>53</v>
      </c>
      <c r="I168" s="9">
        <f t="shared" si="69"/>
        <v>0</v>
      </c>
      <c r="J168" s="9">
        <f t="shared" si="67"/>
        <v>0</v>
      </c>
    </row>
    <row r="169" ht="36">
      <c r="A169" s="31" t="s">
        <v>29</v>
      </c>
      <c r="B169" s="32" t="s">
        <v>305</v>
      </c>
      <c r="C169" s="33" t="s">
        <v>320</v>
      </c>
      <c r="D169" s="32" t="s">
        <v>321</v>
      </c>
      <c r="E169" s="33" t="s">
        <v>322</v>
      </c>
      <c r="F169" s="9" t="s">
        <v>22</v>
      </c>
      <c r="G169" s="35">
        <f t="shared" si="68"/>
        <v>1</v>
      </c>
      <c r="H169" s="9" t="s">
        <v>22</v>
      </c>
      <c r="I169" s="9">
        <f t="shared" si="69"/>
        <v>1</v>
      </c>
      <c r="J169" s="9">
        <f t="shared" si="67"/>
        <v>1</v>
      </c>
    </row>
    <row r="170" ht="36">
      <c r="A170" s="31" t="s">
        <v>29</v>
      </c>
      <c r="B170" s="32" t="s">
        <v>305</v>
      </c>
      <c r="C170" s="33" t="s">
        <v>320</v>
      </c>
      <c r="D170" s="32" t="s">
        <v>321</v>
      </c>
      <c r="E170" s="33" t="s">
        <v>323</v>
      </c>
      <c r="F170" s="9" t="s">
        <v>22</v>
      </c>
      <c r="G170" s="35">
        <f t="shared" si="68"/>
        <v>1</v>
      </c>
      <c r="H170" s="9" t="s">
        <v>22</v>
      </c>
      <c r="I170" s="9">
        <f t="shared" si="69"/>
        <v>1</v>
      </c>
      <c r="J170" s="9">
        <f t="shared" si="67"/>
        <v>1</v>
      </c>
    </row>
    <row r="171" ht="36">
      <c r="A171" s="31" t="s">
        <v>29</v>
      </c>
      <c r="B171" s="32" t="s">
        <v>305</v>
      </c>
      <c r="C171" s="33" t="s">
        <v>320</v>
      </c>
      <c r="D171" s="32" t="s">
        <v>321</v>
      </c>
      <c r="E171" s="33" t="s">
        <v>324</v>
      </c>
      <c r="F171" s="9" t="s">
        <v>22</v>
      </c>
      <c r="G171" s="35">
        <f t="shared" si="68"/>
        <v>1</v>
      </c>
      <c r="H171" s="9" t="s">
        <v>22</v>
      </c>
      <c r="I171" s="9">
        <f t="shared" si="69"/>
        <v>1</v>
      </c>
      <c r="J171" s="9">
        <f t="shared" si="67"/>
        <v>1</v>
      </c>
    </row>
    <row r="172" ht="54">
      <c r="A172" s="31" t="s">
        <v>32</v>
      </c>
      <c r="B172" s="32" t="s">
        <v>222</v>
      </c>
      <c r="C172" s="33" t="s">
        <v>223</v>
      </c>
      <c r="D172" s="32" t="s">
        <v>224</v>
      </c>
      <c r="E172" s="33" t="s">
        <v>225</v>
      </c>
      <c r="F172" s="9" t="s">
        <v>22</v>
      </c>
      <c r="G172" s="35">
        <f t="shared" si="68"/>
        <v>1</v>
      </c>
      <c r="H172" s="9" t="s">
        <v>22</v>
      </c>
      <c r="I172" s="9">
        <f t="shared" si="69"/>
        <v>1</v>
      </c>
      <c r="J172" s="9">
        <f t="shared" si="67"/>
        <v>1</v>
      </c>
    </row>
    <row r="173" ht="36">
      <c r="A173" s="31" t="s">
        <v>32</v>
      </c>
      <c r="B173" s="32" t="s">
        <v>222</v>
      </c>
      <c r="C173" s="33" t="s">
        <v>223</v>
      </c>
      <c r="D173" s="32" t="s">
        <v>224</v>
      </c>
      <c r="E173" s="33" t="s">
        <v>226</v>
      </c>
      <c r="F173" s="9" t="s">
        <v>53</v>
      </c>
      <c r="G173" s="35">
        <f t="shared" si="68"/>
        <v>0</v>
      </c>
      <c r="H173" s="9" t="s">
        <v>53</v>
      </c>
      <c r="I173" s="9">
        <f t="shared" si="69"/>
        <v>0</v>
      </c>
      <c r="J173" s="9">
        <f t="shared" si="67"/>
        <v>0</v>
      </c>
    </row>
    <row r="174" ht="72">
      <c r="A174" s="31" t="s">
        <v>32</v>
      </c>
      <c r="B174" s="32" t="s">
        <v>222</v>
      </c>
      <c r="C174" s="33" t="s">
        <v>223</v>
      </c>
      <c r="D174" s="32" t="s">
        <v>224</v>
      </c>
      <c r="E174" s="33" t="s">
        <v>227</v>
      </c>
      <c r="F174" s="9" t="s">
        <v>70</v>
      </c>
      <c r="G174" s="35">
        <f t="shared" si="68"/>
        <v>0.5</v>
      </c>
      <c r="H174" s="9" t="s">
        <v>70</v>
      </c>
      <c r="I174" s="9">
        <f t="shared" si="69"/>
        <v>0.5</v>
      </c>
      <c r="J174" s="9">
        <f t="shared" si="67"/>
        <v>0.5</v>
      </c>
    </row>
    <row r="175" ht="72">
      <c r="A175" s="31" t="s">
        <v>32</v>
      </c>
      <c r="B175" s="32" t="s">
        <v>222</v>
      </c>
      <c r="C175" s="33" t="s">
        <v>228</v>
      </c>
      <c r="D175" s="32" t="s">
        <v>229</v>
      </c>
      <c r="E175" s="33" t="s">
        <v>230</v>
      </c>
      <c r="F175" s="9" t="s">
        <v>70</v>
      </c>
      <c r="G175" s="35">
        <f t="shared" si="68"/>
        <v>0.5</v>
      </c>
      <c r="H175" s="9" t="s">
        <v>70</v>
      </c>
      <c r="I175" s="9">
        <f t="shared" si="69"/>
        <v>0.5</v>
      </c>
      <c r="J175" s="9">
        <f t="shared" si="67"/>
        <v>0.5</v>
      </c>
    </row>
    <row r="176" ht="72">
      <c r="A176" s="31" t="s">
        <v>32</v>
      </c>
      <c r="B176" s="32" t="s">
        <v>222</v>
      </c>
      <c r="C176" s="33" t="s">
        <v>228</v>
      </c>
      <c r="D176" s="32" t="s">
        <v>229</v>
      </c>
      <c r="E176" s="33" t="s">
        <v>231</v>
      </c>
      <c r="F176" s="9" t="s">
        <v>70</v>
      </c>
      <c r="G176" s="35">
        <f t="shared" si="68"/>
        <v>0.5</v>
      </c>
      <c r="H176" s="9" t="s">
        <v>70</v>
      </c>
      <c r="I176" s="9">
        <f t="shared" si="69"/>
        <v>0.5</v>
      </c>
      <c r="J176" s="9">
        <f t="shared" si="67"/>
        <v>0.5</v>
      </c>
    </row>
    <row r="177" ht="72">
      <c r="A177" s="31" t="s">
        <v>32</v>
      </c>
      <c r="B177" s="32" t="s">
        <v>222</v>
      </c>
      <c r="C177" s="33" t="s">
        <v>232</v>
      </c>
      <c r="D177" s="32" t="s">
        <v>233</v>
      </c>
      <c r="E177" s="33" t="s">
        <v>234</v>
      </c>
      <c r="F177" s="9" t="s">
        <v>70</v>
      </c>
      <c r="G177" s="35">
        <f t="shared" si="68"/>
        <v>0.5</v>
      </c>
      <c r="H177" s="9" t="s">
        <v>70</v>
      </c>
      <c r="I177" s="9">
        <f t="shared" si="69"/>
        <v>0.5</v>
      </c>
      <c r="J177" s="9">
        <f t="shared" si="67"/>
        <v>0.5</v>
      </c>
    </row>
    <row r="178" ht="72">
      <c r="A178" s="31" t="s">
        <v>32</v>
      </c>
      <c r="B178" s="32" t="s">
        <v>222</v>
      </c>
      <c r="C178" s="33" t="s">
        <v>232</v>
      </c>
      <c r="D178" s="32" t="s">
        <v>233</v>
      </c>
      <c r="E178" s="33" t="s">
        <v>235</v>
      </c>
      <c r="F178" s="9" t="s">
        <v>70</v>
      </c>
      <c r="G178" s="35">
        <f t="shared" si="68"/>
        <v>0.5</v>
      </c>
      <c r="H178" s="9" t="s">
        <v>70</v>
      </c>
      <c r="I178" s="9">
        <f t="shared" si="69"/>
        <v>0.5</v>
      </c>
      <c r="J178" s="9">
        <f t="shared" si="67"/>
        <v>0.5</v>
      </c>
    </row>
    <row r="179" ht="72">
      <c r="A179" s="31" t="s">
        <v>32</v>
      </c>
      <c r="B179" s="32" t="s">
        <v>222</v>
      </c>
      <c r="C179" s="33" t="s">
        <v>232</v>
      </c>
      <c r="D179" s="32" t="s">
        <v>233</v>
      </c>
      <c r="E179" s="33" t="s">
        <v>236</v>
      </c>
      <c r="F179" s="9" t="s">
        <v>70</v>
      </c>
      <c r="G179" s="35">
        <f t="shared" si="68"/>
        <v>0.5</v>
      </c>
      <c r="H179" s="9" t="s">
        <v>70</v>
      </c>
      <c r="I179" s="9">
        <f t="shared" si="69"/>
        <v>0.5</v>
      </c>
      <c r="J179" s="9">
        <f t="shared" si="67"/>
        <v>0.5</v>
      </c>
    </row>
    <row r="180" ht="72">
      <c r="A180" s="31" t="s">
        <v>32</v>
      </c>
      <c r="B180" s="32" t="s">
        <v>222</v>
      </c>
      <c r="C180" s="33" t="s">
        <v>237</v>
      </c>
      <c r="D180" s="32" t="s">
        <v>238</v>
      </c>
      <c r="E180" s="33" t="s">
        <v>239</v>
      </c>
      <c r="F180" s="9" t="s">
        <v>22</v>
      </c>
      <c r="G180" s="35">
        <f t="shared" si="68"/>
        <v>1</v>
      </c>
      <c r="H180" s="9" t="s">
        <v>22</v>
      </c>
      <c r="I180" s="9">
        <f t="shared" si="69"/>
        <v>1</v>
      </c>
      <c r="J180" s="9">
        <f t="shared" si="67"/>
        <v>1</v>
      </c>
    </row>
    <row r="181" ht="54">
      <c r="A181" s="31" t="s">
        <v>32</v>
      </c>
      <c r="B181" s="32" t="s">
        <v>222</v>
      </c>
      <c r="C181" s="33" t="s">
        <v>237</v>
      </c>
      <c r="D181" s="32" t="s">
        <v>238</v>
      </c>
      <c r="E181" s="33" t="s">
        <v>240</v>
      </c>
      <c r="F181" s="9" t="s">
        <v>22</v>
      </c>
      <c r="G181" s="35">
        <f t="shared" si="68"/>
        <v>1</v>
      </c>
      <c r="H181" s="9" t="s">
        <v>22</v>
      </c>
      <c r="I181" s="9">
        <f t="shared" si="69"/>
        <v>1</v>
      </c>
      <c r="J181" s="9">
        <f t="shared" si="67"/>
        <v>1</v>
      </c>
    </row>
    <row r="182" ht="54">
      <c r="A182" s="31" t="s">
        <v>32</v>
      </c>
      <c r="B182" s="32" t="s">
        <v>222</v>
      </c>
      <c r="C182" s="33" t="s">
        <v>241</v>
      </c>
      <c r="D182" s="32" t="s">
        <v>242</v>
      </c>
      <c r="E182" s="33" t="s">
        <v>243</v>
      </c>
      <c r="F182" s="9" t="s">
        <v>22</v>
      </c>
      <c r="G182" s="35">
        <f t="shared" si="68"/>
        <v>1</v>
      </c>
      <c r="H182" s="9" t="s">
        <v>22</v>
      </c>
      <c r="I182" s="9">
        <f t="shared" si="69"/>
        <v>1</v>
      </c>
      <c r="J182" s="9">
        <f t="shared" si="67"/>
        <v>1</v>
      </c>
    </row>
    <row r="183" ht="54">
      <c r="A183" s="31" t="s">
        <v>32</v>
      </c>
      <c r="B183" s="32" t="s">
        <v>222</v>
      </c>
      <c r="C183" s="33" t="s">
        <v>241</v>
      </c>
      <c r="D183" s="32" t="s">
        <v>242</v>
      </c>
      <c r="E183" s="33" t="s">
        <v>244</v>
      </c>
      <c r="F183" s="9" t="s">
        <v>22</v>
      </c>
      <c r="G183" s="35">
        <f t="shared" si="68"/>
        <v>1</v>
      </c>
      <c r="H183" s="9" t="s">
        <v>22</v>
      </c>
      <c r="I183" s="9">
        <f t="shared" si="69"/>
        <v>1</v>
      </c>
      <c r="J183" s="9">
        <f t="shared" si="67"/>
        <v>1</v>
      </c>
    </row>
    <row r="184" ht="72">
      <c r="A184" s="31" t="s">
        <v>32</v>
      </c>
      <c r="B184" s="32" t="s">
        <v>222</v>
      </c>
      <c r="C184" s="33" t="s">
        <v>241</v>
      </c>
      <c r="D184" s="32" t="s">
        <v>242</v>
      </c>
      <c r="E184" s="33" t="s">
        <v>245</v>
      </c>
      <c r="F184" s="9" t="s">
        <v>70</v>
      </c>
      <c r="G184" s="35">
        <f t="shared" si="68"/>
        <v>0.5</v>
      </c>
      <c r="H184" s="9" t="s">
        <v>70</v>
      </c>
      <c r="I184" s="9">
        <f t="shared" si="69"/>
        <v>0.5</v>
      </c>
      <c r="J184" s="9">
        <f t="shared" si="67"/>
        <v>0.5</v>
      </c>
    </row>
    <row r="185" ht="72">
      <c r="A185" s="31" t="s">
        <v>32</v>
      </c>
      <c r="B185" s="32" t="s">
        <v>246</v>
      </c>
      <c r="C185" s="33" t="s">
        <v>247</v>
      </c>
      <c r="D185" s="32" t="s">
        <v>248</v>
      </c>
      <c r="E185" s="33" t="s">
        <v>249</v>
      </c>
      <c r="F185" s="9" t="s">
        <v>22</v>
      </c>
      <c r="G185" s="35">
        <f t="shared" si="68"/>
        <v>1</v>
      </c>
      <c r="H185" s="9" t="s">
        <v>22</v>
      </c>
      <c r="I185" s="9">
        <f t="shared" si="69"/>
        <v>1</v>
      </c>
      <c r="J185" s="9">
        <f t="shared" si="67"/>
        <v>1</v>
      </c>
    </row>
    <row r="186" ht="54">
      <c r="A186" s="31" t="s">
        <v>32</v>
      </c>
      <c r="B186" s="32" t="s">
        <v>246</v>
      </c>
      <c r="C186" s="33" t="s">
        <v>247</v>
      </c>
      <c r="D186" s="32" t="s">
        <v>248</v>
      </c>
      <c r="E186" s="33" t="s">
        <v>250</v>
      </c>
      <c r="F186" s="9" t="s">
        <v>22</v>
      </c>
      <c r="G186" s="35">
        <f t="shared" si="68"/>
        <v>1</v>
      </c>
      <c r="H186" s="9" t="s">
        <v>22</v>
      </c>
      <c r="I186" s="9">
        <f t="shared" si="69"/>
        <v>1</v>
      </c>
      <c r="J186" s="9">
        <f t="shared" si="67"/>
        <v>1</v>
      </c>
    </row>
    <row r="187" ht="72">
      <c r="A187" s="31" t="s">
        <v>32</v>
      </c>
      <c r="B187" s="32" t="s">
        <v>246</v>
      </c>
      <c r="C187" s="33" t="s">
        <v>251</v>
      </c>
      <c r="D187" s="32" t="s">
        <v>252</v>
      </c>
      <c r="E187" s="33" t="s">
        <v>253</v>
      </c>
      <c r="F187" s="9" t="s">
        <v>70</v>
      </c>
      <c r="G187" s="35">
        <f t="shared" si="68"/>
        <v>0.5</v>
      </c>
      <c r="H187" s="9" t="s">
        <v>70</v>
      </c>
      <c r="I187" s="9">
        <f t="shared" si="69"/>
        <v>0.5</v>
      </c>
      <c r="J187" s="9">
        <f t="shared" si="67"/>
        <v>0.5</v>
      </c>
    </row>
    <row r="188" ht="72">
      <c r="A188" s="31" t="s">
        <v>32</v>
      </c>
      <c r="B188" s="32" t="s">
        <v>246</v>
      </c>
      <c r="C188" s="33" t="s">
        <v>251</v>
      </c>
      <c r="D188" s="32" t="s">
        <v>252</v>
      </c>
      <c r="E188" s="33" t="s">
        <v>254</v>
      </c>
      <c r="F188" s="9" t="s">
        <v>53</v>
      </c>
      <c r="G188" s="35">
        <f t="shared" si="68"/>
        <v>0</v>
      </c>
      <c r="H188" s="9" t="s">
        <v>53</v>
      </c>
      <c r="I188" s="9">
        <f t="shared" si="69"/>
        <v>0</v>
      </c>
      <c r="J188" s="9">
        <f t="shared" si="67"/>
        <v>0</v>
      </c>
    </row>
    <row r="189" ht="54">
      <c r="A189" s="31" t="s">
        <v>32</v>
      </c>
      <c r="B189" s="32" t="s">
        <v>246</v>
      </c>
      <c r="C189" s="33" t="s">
        <v>251</v>
      </c>
      <c r="D189" s="32" t="s">
        <v>252</v>
      </c>
      <c r="E189" s="33" t="s">
        <v>255</v>
      </c>
      <c r="F189" s="9" t="s">
        <v>22</v>
      </c>
      <c r="G189" s="35">
        <f t="shared" si="68"/>
        <v>1</v>
      </c>
      <c r="H189" s="9" t="s">
        <v>22</v>
      </c>
      <c r="I189" s="9">
        <f t="shared" si="69"/>
        <v>1</v>
      </c>
      <c r="J189" s="9">
        <f t="shared" si="67"/>
        <v>1</v>
      </c>
    </row>
    <row r="190" ht="72">
      <c r="A190" s="31" t="s">
        <v>32</v>
      </c>
      <c r="B190" s="32" t="s">
        <v>246</v>
      </c>
      <c r="C190" s="33" t="s">
        <v>256</v>
      </c>
      <c r="D190" s="32" t="s">
        <v>257</v>
      </c>
      <c r="E190" s="33" t="s">
        <v>258</v>
      </c>
      <c r="F190" s="9" t="s">
        <v>22</v>
      </c>
      <c r="G190" s="35">
        <f t="shared" si="68"/>
        <v>1</v>
      </c>
      <c r="H190" s="9" t="s">
        <v>22</v>
      </c>
      <c r="I190" s="9">
        <f t="shared" si="69"/>
        <v>1</v>
      </c>
      <c r="J190" s="9">
        <f t="shared" si="67"/>
        <v>1</v>
      </c>
    </row>
    <row r="191" ht="72">
      <c r="A191" s="31" t="s">
        <v>32</v>
      </c>
      <c r="B191" s="32" t="s">
        <v>246</v>
      </c>
      <c r="C191" s="33" t="s">
        <v>256</v>
      </c>
      <c r="D191" s="32" t="s">
        <v>257</v>
      </c>
      <c r="E191" s="33" t="s">
        <v>259</v>
      </c>
      <c r="F191" s="9" t="s">
        <v>22</v>
      </c>
      <c r="G191" s="35">
        <f t="shared" si="68"/>
        <v>1</v>
      </c>
      <c r="H191" s="9" t="s">
        <v>22</v>
      </c>
      <c r="I191" s="9">
        <f t="shared" si="69"/>
        <v>1</v>
      </c>
      <c r="J191" s="9">
        <f t="shared" si="67"/>
        <v>1</v>
      </c>
    </row>
    <row r="192" ht="54">
      <c r="A192" s="31" t="s">
        <v>32</v>
      </c>
      <c r="B192" s="32" t="s">
        <v>260</v>
      </c>
      <c r="C192" s="33" t="s">
        <v>261</v>
      </c>
      <c r="D192" s="32" t="s">
        <v>262</v>
      </c>
      <c r="E192" s="33" t="s">
        <v>263</v>
      </c>
      <c r="F192" s="9" t="s">
        <v>22</v>
      </c>
      <c r="G192" s="35">
        <f t="shared" si="68"/>
        <v>1</v>
      </c>
      <c r="H192" s="9" t="s">
        <v>53</v>
      </c>
      <c r="I192" s="9">
        <f t="shared" si="69"/>
        <v>0</v>
      </c>
      <c r="J192" s="9">
        <f t="shared" si="67"/>
        <v>0.5</v>
      </c>
    </row>
    <row r="193" ht="54">
      <c r="A193" s="31" t="s">
        <v>32</v>
      </c>
      <c r="B193" s="32" t="s">
        <v>260</v>
      </c>
      <c r="C193" s="33" t="s">
        <v>261</v>
      </c>
      <c r="D193" s="32" t="s">
        <v>262</v>
      </c>
      <c r="E193" s="33" t="s">
        <v>264</v>
      </c>
      <c r="F193" s="9" t="s">
        <v>53</v>
      </c>
      <c r="G193" s="35">
        <f t="shared" si="68"/>
        <v>0</v>
      </c>
      <c r="H193" s="9" t="s">
        <v>22</v>
      </c>
      <c r="I193" s="9">
        <f t="shared" si="69"/>
        <v>1</v>
      </c>
      <c r="J193" s="9">
        <f t="shared" si="67"/>
        <v>0.5</v>
      </c>
    </row>
    <row r="194" ht="54">
      <c r="A194" s="31" t="s">
        <v>32</v>
      </c>
      <c r="B194" s="32" t="s">
        <v>260</v>
      </c>
      <c r="C194" s="33" t="s">
        <v>261</v>
      </c>
      <c r="D194" s="32" t="s">
        <v>262</v>
      </c>
      <c r="E194" s="33" t="s">
        <v>265</v>
      </c>
      <c r="F194" s="9" t="s">
        <v>22</v>
      </c>
      <c r="G194" s="35">
        <f t="shared" si="68"/>
        <v>1</v>
      </c>
      <c r="H194" s="9" t="s">
        <v>22</v>
      </c>
      <c r="I194" s="9">
        <f t="shared" si="69"/>
        <v>1</v>
      </c>
      <c r="J194" s="9">
        <f t="shared" si="67"/>
        <v>1</v>
      </c>
    </row>
    <row r="195" ht="72">
      <c r="A195" s="31" t="s">
        <v>32</v>
      </c>
      <c r="B195" s="32" t="s">
        <v>260</v>
      </c>
      <c r="C195" s="32" t="s">
        <v>266</v>
      </c>
      <c r="D195" s="33" t="s">
        <v>267</v>
      </c>
      <c r="E195" s="33" t="s">
        <v>268</v>
      </c>
      <c r="F195" s="9" t="s">
        <v>22</v>
      </c>
      <c r="G195" s="35">
        <f t="shared" si="68"/>
        <v>1</v>
      </c>
      <c r="H195" s="9" t="s">
        <v>22</v>
      </c>
      <c r="I195" s="9">
        <f t="shared" si="69"/>
        <v>1</v>
      </c>
      <c r="J195" s="9">
        <f t="shared" si="67"/>
        <v>1</v>
      </c>
    </row>
    <row r="196" ht="72">
      <c r="A196" s="31" t="s">
        <v>32</v>
      </c>
      <c r="B196" s="32" t="s">
        <v>260</v>
      </c>
      <c r="C196" s="32" t="s">
        <v>266</v>
      </c>
      <c r="D196" s="33" t="s">
        <v>267</v>
      </c>
      <c r="E196" s="33" t="s">
        <v>269</v>
      </c>
      <c r="F196" s="9" t="s">
        <v>22</v>
      </c>
      <c r="G196" s="35">
        <f t="shared" si="68"/>
        <v>1</v>
      </c>
      <c r="H196" s="9" t="s">
        <v>22</v>
      </c>
      <c r="I196" s="9">
        <f t="shared" si="69"/>
        <v>1</v>
      </c>
      <c r="J196" s="9">
        <f t="shared" ref="J196:J259" si="70">AVERAGE(G196,I196)</f>
        <v>1</v>
      </c>
    </row>
    <row r="197" ht="72">
      <c r="A197" s="31" t="s">
        <v>32</v>
      </c>
      <c r="B197" s="32" t="s">
        <v>260</v>
      </c>
      <c r="C197" s="32" t="s">
        <v>266</v>
      </c>
      <c r="D197" s="33" t="s">
        <v>267</v>
      </c>
      <c r="E197" s="33" t="s">
        <v>270</v>
      </c>
      <c r="F197" s="9" t="s">
        <v>22</v>
      </c>
      <c r="G197" s="35">
        <f t="shared" ref="G197:G260" si="71">IF(F197="Cumple",1,IF(F197="Cumple Parcialmente",0.5,IF(F197="No Cumple",0,"")))</f>
        <v>1</v>
      </c>
      <c r="H197" s="9" t="s">
        <v>22</v>
      </c>
      <c r="I197" s="9">
        <f t="shared" ref="I197:I260" si="72">IF(H197="Cumple",1,IF(H197="Cumple Parcialmente",0.5,IF(H197="No Cumple",0,"")))</f>
        <v>1</v>
      </c>
      <c r="J197" s="9">
        <f t="shared" si="70"/>
        <v>1</v>
      </c>
    </row>
    <row r="198" ht="72">
      <c r="A198" s="31" t="s">
        <v>32</v>
      </c>
      <c r="B198" s="32" t="s">
        <v>260</v>
      </c>
      <c r="C198" s="33" t="s">
        <v>271</v>
      </c>
      <c r="D198" s="32" t="s">
        <v>272</v>
      </c>
      <c r="E198" s="33" t="s">
        <v>273</v>
      </c>
      <c r="F198" s="9" t="s">
        <v>22</v>
      </c>
      <c r="G198" s="35">
        <f t="shared" si="71"/>
        <v>1</v>
      </c>
      <c r="H198" s="9" t="s">
        <v>22</v>
      </c>
      <c r="I198" s="9">
        <f t="shared" si="72"/>
        <v>1</v>
      </c>
      <c r="J198" s="9">
        <f t="shared" si="70"/>
        <v>1</v>
      </c>
    </row>
    <row r="199" ht="72">
      <c r="A199" s="31" t="s">
        <v>32</v>
      </c>
      <c r="B199" s="32" t="s">
        <v>260</v>
      </c>
      <c r="C199" s="33" t="s">
        <v>271</v>
      </c>
      <c r="D199" s="32" t="s">
        <v>272</v>
      </c>
      <c r="E199" s="33" t="s">
        <v>274</v>
      </c>
      <c r="F199" s="9" t="s">
        <v>22</v>
      </c>
      <c r="G199" s="35">
        <f t="shared" si="71"/>
        <v>1</v>
      </c>
      <c r="H199" s="9" t="s">
        <v>22</v>
      </c>
      <c r="I199" s="9">
        <f t="shared" si="72"/>
        <v>1</v>
      </c>
      <c r="J199" s="9">
        <f t="shared" si="70"/>
        <v>1</v>
      </c>
    </row>
    <row r="200" ht="90">
      <c r="A200" s="31" t="s">
        <v>32</v>
      </c>
      <c r="B200" s="32" t="s">
        <v>260</v>
      </c>
      <c r="C200" s="33" t="s">
        <v>271</v>
      </c>
      <c r="D200" s="32" t="s">
        <v>272</v>
      </c>
      <c r="E200" s="33" t="s">
        <v>275</v>
      </c>
      <c r="F200" s="9" t="s">
        <v>22</v>
      </c>
      <c r="G200" s="35">
        <f t="shared" si="71"/>
        <v>1</v>
      </c>
      <c r="H200" s="9" t="s">
        <v>22</v>
      </c>
      <c r="I200" s="9">
        <f t="shared" si="72"/>
        <v>1</v>
      </c>
      <c r="J200" s="9">
        <f t="shared" si="70"/>
        <v>1</v>
      </c>
    </row>
    <row r="201" ht="54">
      <c r="A201" s="31" t="s">
        <v>32</v>
      </c>
      <c r="B201" s="32" t="s">
        <v>260</v>
      </c>
      <c r="C201" s="33" t="s">
        <v>276</v>
      </c>
      <c r="D201" s="32" t="s">
        <v>277</v>
      </c>
      <c r="E201" s="33" t="s">
        <v>278</v>
      </c>
      <c r="F201" s="9" t="s">
        <v>22</v>
      </c>
      <c r="G201" s="35">
        <f t="shared" si="71"/>
        <v>1</v>
      </c>
      <c r="H201" s="9" t="s">
        <v>22</v>
      </c>
      <c r="I201" s="9">
        <f t="shared" si="72"/>
        <v>1</v>
      </c>
      <c r="J201" s="9">
        <f t="shared" si="70"/>
        <v>1</v>
      </c>
    </row>
    <row r="202" ht="54">
      <c r="A202" s="31" t="s">
        <v>32</v>
      </c>
      <c r="B202" s="32" t="s">
        <v>260</v>
      </c>
      <c r="C202" s="33" t="s">
        <v>276</v>
      </c>
      <c r="D202" s="32" t="s">
        <v>277</v>
      </c>
      <c r="E202" s="33" t="s">
        <v>279</v>
      </c>
      <c r="F202" s="9" t="s">
        <v>22</v>
      </c>
      <c r="G202" s="35">
        <f t="shared" si="71"/>
        <v>1</v>
      </c>
      <c r="H202" s="9" t="s">
        <v>22</v>
      </c>
      <c r="I202" s="9">
        <f t="shared" si="72"/>
        <v>1</v>
      </c>
      <c r="J202" s="9">
        <f t="shared" si="70"/>
        <v>1</v>
      </c>
    </row>
    <row r="203" ht="54">
      <c r="A203" s="31" t="s">
        <v>32</v>
      </c>
      <c r="B203" s="32" t="s">
        <v>260</v>
      </c>
      <c r="C203" s="33" t="s">
        <v>276</v>
      </c>
      <c r="D203" s="32" t="s">
        <v>277</v>
      </c>
      <c r="E203" s="33" t="s">
        <v>280</v>
      </c>
      <c r="F203" s="9" t="s">
        <v>22</v>
      </c>
      <c r="G203" s="35">
        <f t="shared" si="71"/>
        <v>1</v>
      </c>
      <c r="H203" s="9" t="s">
        <v>22</v>
      </c>
      <c r="I203" s="9">
        <f t="shared" si="72"/>
        <v>1</v>
      </c>
      <c r="J203" s="9">
        <f t="shared" si="70"/>
        <v>1</v>
      </c>
    </row>
    <row r="204" ht="90">
      <c r="A204" s="31" t="s">
        <v>32</v>
      </c>
      <c r="B204" s="32" t="s">
        <v>260</v>
      </c>
      <c r="C204" s="33" t="s">
        <v>281</v>
      </c>
      <c r="D204" s="32" t="s">
        <v>282</v>
      </c>
      <c r="E204" s="33" t="s">
        <v>283</v>
      </c>
      <c r="F204" s="9" t="s">
        <v>22</v>
      </c>
      <c r="G204" s="35">
        <f t="shared" si="71"/>
        <v>1</v>
      </c>
      <c r="H204" s="9" t="s">
        <v>22</v>
      </c>
      <c r="I204" s="9">
        <f t="shared" si="72"/>
        <v>1</v>
      </c>
      <c r="J204" s="9">
        <f t="shared" si="70"/>
        <v>1</v>
      </c>
    </row>
    <row r="205" ht="90">
      <c r="A205" s="31" t="s">
        <v>32</v>
      </c>
      <c r="B205" s="32" t="s">
        <v>260</v>
      </c>
      <c r="C205" s="33" t="s">
        <v>281</v>
      </c>
      <c r="D205" s="32" t="s">
        <v>282</v>
      </c>
      <c r="E205" s="33" t="s">
        <v>284</v>
      </c>
      <c r="F205" s="9" t="s">
        <v>22</v>
      </c>
      <c r="G205" s="35">
        <f t="shared" si="71"/>
        <v>1</v>
      </c>
      <c r="H205" s="9" t="s">
        <v>22</v>
      </c>
      <c r="I205" s="9">
        <f t="shared" si="72"/>
        <v>1</v>
      </c>
      <c r="J205" s="9">
        <f t="shared" si="70"/>
        <v>1</v>
      </c>
    </row>
    <row r="206" ht="36">
      <c r="A206" s="31" t="s">
        <v>32</v>
      </c>
      <c r="B206" s="32" t="s">
        <v>285</v>
      </c>
      <c r="C206" s="33" t="s">
        <v>286</v>
      </c>
      <c r="D206" s="32" t="s">
        <v>287</v>
      </c>
      <c r="E206" s="33" t="s">
        <v>288</v>
      </c>
      <c r="F206" s="9" t="s">
        <v>22</v>
      </c>
      <c r="G206" s="35">
        <f t="shared" si="71"/>
        <v>1</v>
      </c>
      <c r="H206" s="9" t="s">
        <v>22</v>
      </c>
      <c r="I206" s="9">
        <f t="shared" si="72"/>
        <v>1</v>
      </c>
      <c r="J206" s="9">
        <f t="shared" si="70"/>
        <v>1</v>
      </c>
    </row>
    <row r="207" ht="54">
      <c r="A207" s="31" t="s">
        <v>32</v>
      </c>
      <c r="B207" s="32" t="s">
        <v>285</v>
      </c>
      <c r="C207" s="33" t="s">
        <v>286</v>
      </c>
      <c r="D207" s="32" t="s">
        <v>287</v>
      </c>
      <c r="E207" s="33" t="s">
        <v>289</v>
      </c>
      <c r="F207" s="9" t="s">
        <v>22</v>
      </c>
      <c r="G207" s="35">
        <f t="shared" si="71"/>
        <v>1</v>
      </c>
      <c r="H207" s="9" t="s">
        <v>22</v>
      </c>
      <c r="I207" s="9">
        <f t="shared" si="72"/>
        <v>1</v>
      </c>
      <c r="J207" s="9">
        <f t="shared" si="70"/>
        <v>1</v>
      </c>
    </row>
    <row r="208" ht="90">
      <c r="A208" s="31" t="s">
        <v>32</v>
      </c>
      <c r="B208" s="32" t="s">
        <v>285</v>
      </c>
      <c r="C208" s="33" t="s">
        <v>290</v>
      </c>
      <c r="D208" s="32" t="s">
        <v>291</v>
      </c>
      <c r="E208" s="33" t="s">
        <v>292</v>
      </c>
      <c r="F208" s="9" t="s">
        <v>22</v>
      </c>
      <c r="G208" s="35">
        <f t="shared" si="71"/>
        <v>1</v>
      </c>
      <c r="H208" s="9" t="s">
        <v>22</v>
      </c>
      <c r="I208" s="9">
        <f t="shared" si="72"/>
        <v>1</v>
      </c>
      <c r="J208" s="9">
        <f t="shared" si="70"/>
        <v>1</v>
      </c>
    </row>
    <row r="209" ht="36">
      <c r="A209" s="31" t="s">
        <v>32</v>
      </c>
      <c r="B209" s="32" t="s">
        <v>285</v>
      </c>
      <c r="C209" s="33" t="s">
        <v>290</v>
      </c>
      <c r="D209" s="32" t="s">
        <v>291</v>
      </c>
      <c r="E209" s="33" t="s">
        <v>293</v>
      </c>
      <c r="F209" s="9" t="s">
        <v>22</v>
      </c>
      <c r="G209" s="35">
        <f t="shared" si="71"/>
        <v>1</v>
      </c>
      <c r="H209" s="9" t="s">
        <v>22</v>
      </c>
      <c r="I209" s="9">
        <f t="shared" si="72"/>
        <v>1</v>
      </c>
      <c r="J209" s="9">
        <f t="shared" si="70"/>
        <v>1</v>
      </c>
    </row>
    <row r="210" ht="72">
      <c r="A210" s="31" t="s">
        <v>32</v>
      </c>
      <c r="B210" s="32" t="s">
        <v>285</v>
      </c>
      <c r="C210" s="33" t="s">
        <v>290</v>
      </c>
      <c r="D210" s="32" t="s">
        <v>291</v>
      </c>
      <c r="E210" s="33" t="s">
        <v>294</v>
      </c>
      <c r="F210" s="9" t="s">
        <v>53</v>
      </c>
      <c r="G210" s="35">
        <f t="shared" si="71"/>
        <v>0</v>
      </c>
      <c r="H210" s="9" t="s">
        <v>53</v>
      </c>
      <c r="I210" s="9">
        <f t="shared" si="72"/>
        <v>0</v>
      </c>
      <c r="J210" s="9">
        <f t="shared" si="70"/>
        <v>0</v>
      </c>
    </row>
    <row r="211" ht="54">
      <c r="A211" s="31" t="s">
        <v>32</v>
      </c>
      <c r="B211" s="32" t="s">
        <v>285</v>
      </c>
      <c r="C211" s="33" t="s">
        <v>295</v>
      </c>
      <c r="D211" s="32" t="s">
        <v>296</v>
      </c>
      <c r="E211" s="33" t="s">
        <v>297</v>
      </c>
      <c r="F211" s="9" t="s">
        <v>53</v>
      </c>
      <c r="G211" s="35">
        <f t="shared" si="71"/>
        <v>0</v>
      </c>
      <c r="H211" s="9" t="s">
        <v>53</v>
      </c>
      <c r="I211" s="9">
        <f t="shared" si="72"/>
        <v>0</v>
      </c>
      <c r="J211" s="9">
        <f t="shared" si="70"/>
        <v>0</v>
      </c>
    </row>
    <row r="212" ht="72">
      <c r="A212" s="31" t="s">
        <v>32</v>
      </c>
      <c r="B212" s="32" t="s">
        <v>285</v>
      </c>
      <c r="C212" s="33" t="s">
        <v>295</v>
      </c>
      <c r="D212" s="32" t="s">
        <v>296</v>
      </c>
      <c r="E212" s="33" t="s">
        <v>298</v>
      </c>
      <c r="F212" s="9" t="s">
        <v>53</v>
      </c>
      <c r="G212" s="35">
        <f t="shared" si="71"/>
        <v>0</v>
      </c>
      <c r="H212" s="9" t="s">
        <v>53</v>
      </c>
      <c r="I212" s="9">
        <f t="shared" si="72"/>
        <v>0</v>
      </c>
      <c r="J212" s="9">
        <f t="shared" si="70"/>
        <v>0</v>
      </c>
    </row>
    <row r="213" ht="54">
      <c r="A213" s="31" t="s">
        <v>32</v>
      </c>
      <c r="B213" s="32" t="s">
        <v>285</v>
      </c>
      <c r="C213" s="33" t="s">
        <v>295</v>
      </c>
      <c r="D213" s="32" t="s">
        <v>296</v>
      </c>
      <c r="E213" s="33" t="s">
        <v>299</v>
      </c>
      <c r="F213" s="9" t="s">
        <v>53</v>
      </c>
      <c r="G213" s="35">
        <f t="shared" si="71"/>
        <v>0</v>
      </c>
      <c r="H213" s="9" t="s">
        <v>53</v>
      </c>
      <c r="I213" s="9">
        <f t="shared" si="72"/>
        <v>0</v>
      </c>
      <c r="J213" s="9">
        <f t="shared" si="70"/>
        <v>0</v>
      </c>
    </row>
    <row r="214" ht="36">
      <c r="A214" s="31" t="s">
        <v>32</v>
      </c>
      <c r="B214" s="32" t="s">
        <v>285</v>
      </c>
      <c r="C214" s="33" t="s">
        <v>300</v>
      </c>
      <c r="D214" s="32" t="s">
        <v>301</v>
      </c>
      <c r="E214" s="33" t="s">
        <v>302</v>
      </c>
      <c r="F214" s="9" t="s">
        <v>53</v>
      </c>
      <c r="G214" s="35">
        <f t="shared" si="71"/>
        <v>0</v>
      </c>
      <c r="H214" s="9" t="s">
        <v>53</v>
      </c>
      <c r="I214" s="9">
        <f t="shared" si="72"/>
        <v>0</v>
      </c>
      <c r="J214" s="9">
        <f t="shared" si="70"/>
        <v>0</v>
      </c>
    </row>
    <row r="215" ht="36">
      <c r="A215" s="31" t="s">
        <v>32</v>
      </c>
      <c r="B215" s="32" t="s">
        <v>285</v>
      </c>
      <c r="C215" s="33" t="s">
        <v>300</v>
      </c>
      <c r="D215" s="32" t="s">
        <v>301</v>
      </c>
      <c r="E215" s="33" t="s">
        <v>303</v>
      </c>
      <c r="F215" s="9" t="s">
        <v>53</v>
      </c>
      <c r="G215" s="35">
        <f t="shared" si="71"/>
        <v>0</v>
      </c>
      <c r="H215" s="9" t="s">
        <v>53</v>
      </c>
      <c r="I215" s="9">
        <f t="shared" si="72"/>
        <v>0</v>
      </c>
      <c r="J215" s="9">
        <f t="shared" si="70"/>
        <v>0</v>
      </c>
    </row>
    <row r="216" ht="36">
      <c r="A216" s="31" t="s">
        <v>32</v>
      </c>
      <c r="B216" s="32" t="s">
        <v>285</v>
      </c>
      <c r="C216" s="33" t="s">
        <v>300</v>
      </c>
      <c r="D216" s="32" t="s">
        <v>301</v>
      </c>
      <c r="E216" s="33" t="s">
        <v>304</v>
      </c>
      <c r="F216" s="9" t="s">
        <v>53</v>
      </c>
      <c r="G216" s="35">
        <f t="shared" si="71"/>
        <v>0</v>
      </c>
      <c r="H216" s="9" t="s">
        <v>53</v>
      </c>
      <c r="I216" s="9">
        <f t="shared" si="72"/>
        <v>0</v>
      </c>
      <c r="J216" s="9">
        <f t="shared" si="70"/>
        <v>0</v>
      </c>
    </row>
    <row r="217" ht="72">
      <c r="A217" s="31" t="s">
        <v>32</v>
      </c>
      <c r="B217" s="32" t="s">
        <v>305</v>
      </c>
      <c r="C217" s="33" t="s">
        <v>306</v>
      </c>
      <c r="D217" s="32" t="s">
        <v>307</v>
      </c>
      <c r="E217" s="33" t="s">
        <v>308</v>
      </c>
      <c r="F217" s="9" t="s">
        <v>70</v>
      </c>
      <c r="G217" s="35">
        <f t="shared" si="71"/>
        <v>0.5</v>
      </c>
      <c r="H217" s="9" t="s">
        <v>70</v>
      </c>
      <c r="I217" s="9">
        <f t="shared" si="72"/>
        <v>0.5</v>
      </c>
      <c r="J217" s="9">
        <f t="shared" si="70"/>
        <v>0.5</v>
      </c>
    </row>
    <row r="218" ht="72">
      <c r="A218" s="31" t="s">
        <v>32</v>
      </c>
      <c r="B218" s="32" t="s">
        <v>305</v>
      </c>
      <c r="C218" s="33" t="s">
        <v>306</v>
      </c>
      <c r="D218" s="32" t="s">
        <v>307</v>
      </c>
      <c r="E218" s="33" t="s">
        <v>309</v>
      </c>
      <c r="F218" s="9" t="s">
        <v>53</v>
      </c>
      <c r="G218" s="35">
        <f t="shared" si="71"/>
        <v>0</v>
      </c>
      <c r="H218" s="9" t="s">
        <v>53</v>
      </c>
      <c r="I218" s="9">
        <f t="shared" si="72"/>
        <v>0</v>
      </c>
      <c r="J218" s="9">
        <f t="shared" si="70"/>
        <v>0</v>
      </c>
    </row>
    <row r="219" ht="72">
      <c r="A219" s="31" t="s">
        <v>32</v>
      </c>
      <c r="B219" s="32" t="s">
        <v>305</v>
      </c>
      <c r="C219" s="33" t="s">
        <v>306</v>
      </c>
      <c r="D219" s="32" t="s">
        <v>307</v>
      </c>
      <c r="E219" s="33" t="s">
        <v>310</v>
      </c>
      <c r="F219" s="9" t="s">
        <v>70</v>
      </c>
      <c r="G219" s="35">
        <f t="shared" si="71"/>
        <v>0.5</v>
      </c>
      <c r="H219" s="9" t="s">
        <v>70</v>
      </c>
      <c r="I219" s="9">
        <f t="shared" si="72"/>
        <v>0.5</v>
      </c>
      <c r="J219" s="9">
        <f t="shared" si="70"/>
        <v>0.5</v>
      </c>
    </row>
    <row r="220" ht="36">
      <c r="A220" s="31" t="s">
        <v>32</v>
      </c>
      <c r="B220" s="32" t="s">
        <v>305</v>
      </c>
      <c r="C220" s="33" t="s">
        <v>311</v>
      </c>
      <c r="D220" s="32" t="s">
        <v>312</v>
      </c>
      <c r="E220" s="33" t="s">
        <v>313</v>
      </c>
      <c r="F220" s="9" t="s">
        <v>22</v>
      </c>
      <c r="G220" s="35">
        <f t="shared" si="71"/>
        <v>1</v>
      </c>
      <c r="H220" s="9" t="s">
        <v>22</v>
      </c>
      <c r="I220" s="9">
        <f t="shared" si="72"/>
        <v>1</v>
      </c>
      <c r="J220" s="9">
        <f t="shared" si="70"/>
        <v>1</v>
      </c>
    </row>
    <row r="221" ht="36">
      <c r="A221" s="31" t="s">
        <v>32</v>
      </c>
      <c r="B221" s="32" t="s">
        <v>305</v>
      </c>
      <c r="C221" s="33" t="s">
        <v>311</v>
      </c>
      <c r="D221" s="32" t="s">
        <v>312</v>
      </c>
      <c r="E221" s="33" t="s">
        <v>314</v>
      </c>
      <c r="F221" s="9" t="s">
        <v>22</v>
      </c>
      <c r="G221" s="35">
        <f t="shared" si="71"/>
        <v>1</v>
      </c>
      <c r="H221" s="9" t="s">
        <v>22</v>
      </c>
      <c r="I221" s="9">
        <f t="shared" si="72"/>
        <v>1</v>
      </c>
      <c r="J221" s="9">
        <f t="shared" si="70"/>
        <v>1</v>
      </c>
    </row>
    <row r="222" ht="36">
      <c r="A222" s="31" t="s">
        <v>32</v>
      </c>
      <c r="B222" s="32" t="s">
        <v>305</v>
      </c>
      <c r="C222" s="33" t="s">
        <v>311</v>
      </c>
      <c r="D222" s="32" t="s">
        <v>312</v>
      </c>
      <c r="E222" s="33" t="s">
        <v>315</v>
      </c>
      <c r="F222" s="9" t="s">
        <v>22</v>
      </c>
      <c r="G222" s="35">
        <f t="shared" si="71"/>
        <v>1</v>
      </c>
      <c r="H222" s="9" t="s">
        <v>22</v>
      </c>
      <c r="I222" s="9">
        <f t="shared" si="72"/>
        <v>1</v>
      </c>
      <c r="J222" s="9">
        <f t="shared" si="70"/>
        <v>1</v>
      </c>
    </row>
    <row r="223" ht="36">
      <c r="A223" s="31" t="s">
        <v>32</v>
      </c>
      <c r="B223" s="32" t="s">
        <v>305</v>
      </c>
      <c r="C223" s="33" t="s">
        <v>316</v>
      </c>
      <c r="D223" s="32" t="s">
        <v>317</v>
      </c>
      <c r="E223" s="33" t="s">
        <v>318</v>
      </c>
      <c r="F223" s="9" t="s">
        <v>53</v>
      </c>
      <c r="G223" s="35">
        <f t="shared" si="71"/>
        <v>0</v>
      </c>
      <c r="H223" s="9" t="s">
        <v>53</v>
      </c>
      <c r="I223" s="9">
        <f t="shared" si="72"/>
        <v>0</v>
      </c>
      <c r="J223" s="9">
        <f t="shared" si="70"/>
        <v>0</v>
      </c>
    </row>
    <row r="224" ht="36">
      <c r="A224" s="31" t="s">
        <v>32</v>
      </c>
      <c r="B224" s="32" t="s">
        <v>305</v>
      </c>
      <c r="C224" s="33" t="s">
        <v>316</v>
      </c>
      <c r="D224" s="32" t="s">
        <v>317</v>
      </c>
      <c r="E224" s="33" t="s">
        <v>319</v>
      </c>
      <c r="F224" s="9" t="s">
        <v>53</v>
      </c>
      <c r="G224" s="35">
        <f t="shared" si="71"/>
        <v>0</v>
      </c>
      <c r="H224" s="9" t="s">
        <v>53</v>
      </c>
      <c r="I224" s="9">
        <f t="shared" si="72"/>
        <v>0</v>
      </c>
      <c r="J224" s="9">
        <f t="shared" si="70"/>
        <v>0</v>
      </c>
    </row>
    <row r="225" ht="36">
      <c r="A225" s="31" t="s">
        <v>32</v>
      </c>
      <c r="B225" s="32" t="s">
        <v>305</v>
      </c>
      <c r="C225" s="33" t="s">
        <v>320</v>
      </c>
      <c r="D225" s="32" t="s">
        <v>321</v>
      </c>
      <c r="E225" s="33" t="s">
        <v>322</v>
      </c>
      <c r="F225" s="9" t="s">
        <v>22</v>
      </c>
      <c r="G225" s="35">
        <f t="shared" si="71"/>
        <v>1</v>
      </c>
      <c r="H225" s="9" t="s">
        <v>53</v>
      </c>
      <c r="I225" s="9">
        <f t="shared" si="72"/>
        <v>0</v>
      </c>
      <c r="J225" s="9">
        <f t="shared" si="70"/>
        <v>0.5</v>
      </c>
    </row>
    <row r="226" ht="36">
      <c r="A226" s="31" t="s">
        <v>32</v>
      </c>
      <c r="B226" s="32" t="s">
        <v>305</v>
      </c>
      <c r="C226" s="33" t="s">
        <v>320</v>
      </c>
      <c r="D226" s="32" t="s">
        <v>321</v>
      </c>
      <c r="E226" s="33" t="s">
        <v>323</v>
      </c>
      <c r="F226" s="9" t="s">
        <v>22</v>
      </c>
      <c r="G226" s="35">
        <f t="shared" si="71"/>
        <v>1</v>
      </c>
      <c r="H226" s="9" t="s">
        <v>53</v>
      </c>
      <c r="I226" s="9">
        <f t="shared" si="72"/>
        <v>0</v>
      </c>
      <c r="J226" s="9">
        <f t="shared" si="70"/>
        <v>0.5</v>
      </c>
    </row>
    <row r="227" ht="36">
      <c r="A227" s="31" t="s">
        <v>32</v>
      </c>
      <c r="B227" s="32" t="s">
        <v>305</v>
      </c>
      <c r="C227" s="33" t="s">
        <v>320</v>
      </c>
      <c r="D227" s="32" t="s">
        <v>321</v>
      </c>
      <c r="E227" s="33" t="s">
        <v>324</v>
      </c>
      <c r="F227" s="9" t="s">
        <v>22</v>
      </c>
      <c r="G227" s="35">
        <f t="shared" si="71"/>
        <v>1</v>
      </c>
      <c r="H227" s="9" t="s">
        <v>53</v>
      </c>
      <c r="I227" s="9">
        <f t="shared" si="72"/>
        <v>0</v>
      </c>
      <c r="J227" s="9">
        <f t="shared" si="70"/>
        <v>0.5</v>
      </c>
    </row>
    <row r="228" ht="54">
      <c r="A228" s="24" t="s">
        <v>36</v>
      </c>
      <c r="B228" s="32" t="s">
        <v>222</v>
      </c>
      <c r="C228" s="33" t="s">
        <v>223</v>
      </c>
      <c r="D228" s="32" t="s">
        <v>224</v>
      </c>
      <c r="E228" s="33" t="s">
        <v>225</v>
      </c>
      <c r="F228" s="9" t="s">
        <v>22</v>
      </c>
      <c r="G228" s="9">
        <f t="shared" si="71"/>
        <v>1</v>
      </c>
      <c r="H228" s="9" t="s">
        <v>22</v>
      </c>
      <c r="I228" s="9">
        <f t="shared" si="72"/>
        <v>1</v>
      </c>
      <c r="J228" s="9">
        <f t="shared" si="70"/>
        <v>1</v>
      </c>
    </row>
    <row r="229" ht="36">
      <c r="A229" s="24" t="s">
        <v>36</v>
      </c>
      <c r="B229" s="32" t="s">
        <v>222</v>
      </c>
      <c r="C229" s="33" t="s">
        <v>223</v>
      </c>
      <c r="D229" s="32" t="s">
        <v>224</v>
      </c>
      <c r="E229" s="33" t="s">
        <v>226</v>
      </c>
      <c r="F229" s="9" t="s">
        <v>22</v>
      </c>
      <c r="G229" s="9">
        <f t="shared" si="71"/>
        <v>1</v>
      </c>
      <c r="H229" s="9" t="s">
        <v>22</v>
      </c>
      <c r="I229" s="9">
        <f t="shared" si="72"/>
        <v>1</v>
      </c>
      <c r="J229" s="9">
        <f t="shared" si="70"/>
        <v>1</v>
      </c>
    </row>
    <row r="230" ht="72">
      <c r="A230" s="24" t="s">
        <v>36</v>
      </c>
      <c r="B230" s="32" t="s">
        <v>222</v>
      </c>
      <c r="C230" s="33" t="s">
        <v>223</v>
      </c>
      <c r="D230" s="32" t="s">
        <v>224</v>
      </c>
      <c r="E230" s="33" t="s">
        <v>227</v>
      </c>
      <c r="F230" s="9" t="s">
        <v>70</v>
      </c>
      <c r="G230" s="9">
        <f t="shared" si="71"/>
        <v>0.5</v>
      </c>
      <c r="H230" s="9" t="s">
        <v>70</v>
      </c>
      <c r="I230" s="9">
        <f t="shared" si="72"/>
        <v>0.5</v>
      </c>
      <c r="J230" s="9">
        <f t="shared" si="70"/>
        <v>0.5</v>
      </c>
    </row>
    <row r="231" ht="72">
      <c r="A231" s="24" t="s">
        <v>36</v>
      </c>
      <c r="B231" s="32" t="s">
        <v>222</v>
      </c>
      <c r="C231" s="33" t="s">
        <v>228</v>
      </c>
      <c r="D231" s="32" t="s">
        <v>229</v>
      </c>
      <c r="E231" s="33" t="s">
        <v>230</v>
      </c>
      <c r="F231" s="9" t="s">
        <v>70</v>
      </c>
      <c r="G231" s="9">
        <f t="shared" si="71"/>
        <v>0.5</v>
      </c>
      <c r="H231" s="9" t="s">
        <v>70</v>
      </c>
      <c r="I231" s="9">
        <f t="shared" si="72"/>
        <v>0.5</v>
      </c>
      <c r="J231" s="9">
        <f t="shared" si="70"/>
        <v>0.5</v>
      </c>
    </row>
    <row r="232" ht="72">
      <c r="A232" s="24" t="s">
        <v>36</v>
      </c>
      <c r="B232" s="32" t="s">
        <v>222</v>
      </c>
      <c r="C232" s="33" t="s">
        <v>228</v>
      </c>
      <c r="D232" s="32" t="s">
        <v>229</v>
      </c>
      <c r="E232" s="33" t="s">
        <v>231</v>
      </c>
      <c r="F232" s="9" t="s">
        <v>70</v>
      </c>
      <c r="G232" s="9">
        <f t="shared" si="71"/>
        <v>0.5</v>
      </c>
      <c r="H232" s="9" t="s">
        <v>70</v>
      </c>
      <c r="I232" s="9">
        <f t="shared" si="72"/>
        <v>0.5</v>
      </c>
      <c r="J232" s="9">
        <f t="shared" si="70"/>
        <v>0.5</v>
      </c>
    </row>
    <row r="233" ht="72">
      <c r="A233" s="24" t="s">
        <v>36</v>
      </c>
      <c r="B233" s="32" t="s">
        <v>222</v>
      </c>
      <c r="C233" s="33" t="s">
        <v>232</v>
      </c>
      <c r="D233" s="32" t="s">
        <v>233</v>
      </c>
      <c r="E233" s="33" t="s">
        <v>234</v>
      </c>
      <c r="F233" s="9" t="s">
        <v>70</v>
      </c>
      <c r="G233" s="9">
        <f t="shared" si="71"/>
        <v>0.5</v>
      </c>
      <c r="H233" s="9" t="s">
        <v>70</v>
      </c>
      <c r="I233" s="9">
        <f t="shared" si="72"/>
        <v>0.5</v>
      </c>
      <c r="J233" s="9">
        <f t="shared" si="70"/>
        <v>0.5</v>
      </c>
    </row>
    <row r="234" ht="72">
      <c r="A234" s="24" t="s">
        <v>36</v>
      </c>
      <c r="B234" s="32" t="s">
        <v>222</v>
      </c>
      <c r="C234" s="33" t="s">
        <v>232</v>
      </c>
      <c r="D234" s="32" t="s">
        <v>233</v>
      </c>
      <c r="E234" s="33" t="s">
        <v>235</v>
      </c>
      <c r="F234" s="9" t="s">
        <v>70</v>
      </c>
      <c r="G234" s="9">
        <f t="shared" si="71"/>
        <v>0.5</v>
      </c>
      <c r="H234" s="9" t="s">
        <v>70</v>
      </c>
      <c r="I234" s="9">
        <f t="shared" si="72"/>
        <v>0.5</v>
      </c>
      <c r="J234" s="9">
        <f t="shared" si="70"/>
        <v>0.5</v>
      </c>
    </row>
    <row r="235" ht="72">
      <c r="A235" s="24" t="s">
        <v>36</v>
      </c>
      <c r="B235" s="32" t="s">
        <v>222</v>
      </c>
      <c r="C235" s="33" t="s">
        <v>232</v>
      </c>
      <c r="D235" s="32" t="s">
        <v>233</v>
      </c>
      <c r="E235" s="33" t="s">
        <v>236</v>
      </c>
      <c r="F235" s="9" t="s">
        <v>22</v>
      </c>
      <c r="G235" s="9">
        <f t="shared" si="71"/>
        <v>1</v>
      </c>
      <c r="H235" s="9" t="s">
        <v>22</v>
      </c>
      <c r="I235" s="9">
        <f t="shared" si="72"/>
        <v>1</v>
      </c>
      <c r="J235" s="9">
        <f t="shared" si="70"/>
        <v>1</v>
      </c>
    </row>
    <row r="236" ht="72">
      <c r="A236" s="24" t="s">
        <v>36</v>
      </c>
      <c r="B236" s="32" t="s">
        <v>222</v>
      </c>
      <c r="C236" s="33" t="s">
        <v>237</v>
      </c>
      <c r="D236" s="32" t="s">
        <v>238</v>
      </c>
      <c r="E236" s="33" t="s">
        <v>239</v>
      </c>
      <c r="F236" s="9" t="s">
        <v>53</v>
      </c>
      <c r="G236" s="9">
        <f t="shared" si="71"/>
        <v>0</v>
      </c>
      <c r="H236" s="9" t="s">
        <v>53</v>
      </c>
      <c r="I236" s="9">
        <f t="shared" si="72"/>
        <v>0</v>
      </c>
      <c r="J236" s="9">
        <f t="shared" si="70"/>
        <v>0</v>
      </c>
    </row>
    <row r="237" ht="54">
      <c r="A237" s="24" t="s">
        <v>36</v>
      </c>
      <c r="B237" s="32" t="s">
        <v>222</v>
      </c>
      <c r="C237" s="33" t="s">
        <v>237</v>
      </c>
      <c r="D237" s="32" t="s">
        <v>238</v>
      </c>
      <c r="E237" s="33" t="s">
        <v>240</v>
      </c>
      <c r="F237" s="9" t="s">
        <v>22</v>
      </c>
      <c r="G237" s="9">
        <f t="shared" si="71"/>
        <v>1</v>
      </c>
      <c r="H237" s="9" t="s">
        <v>22</v>
      </c>
      <c r="I237" s="9">
        <f t="shared" si="72"/>
        <v>1</v>
      </c>
      <c r="J237" s="9">
        <f t="shared" si="70"/>
        <v>1</v>
      </c>
    </row>
    <row r="238" ht="54">
      <c r="A238" s="24" t="s">
        <v>36</v>
      </c>
      <c r="B238" s="32" t="s">
        <v>222</v>
      </c>
      <c r="C238" s="33" t="s">
        <v>241</v>
      </c>
      <c r="D238" s="32" t="s">
        <v>242</v>
      </c>
      <c r="E238" s="33" t="s">
        <v>243</v>
      </c>
      <c r="F238" s="9" t="s">
        <v>70</v>
      </c>
      <c r="G238" s="9">
        <f t="shared" si="71"/>
        <v>0.5</v>
      </c>
      <c r="H238" s="9" t="s">
        <v>70</v>
      </c>
      <c r="I238" s="9">
        <f t="shared" si="72"/>
        <v>0.5</v>
      </c>
      <c r="J238" s="9">
        <f t="shared" si="70"/>
        <v>0.5</v>
      </c>
    </row>
    <row r="239" ht="54">
      <c r="A239" s="24" t="s">
        <v>36</v>
      </c>
      <c r="B239" s="32" t="s">
        <v>222</v>
      </c>
      <c r="C239" s="33" t="s">
        <v>241</v>
      </c>
      <c r="D239" s="32" t="s">
        <v>242</v>
      </c>
      <c r="E239" s="33" t="s">
        <v>244</v>
      </c>
      <c r="F239" s="9" t="s">
        <v>22</v>
      </c>
      <c r="G239" s="9">
        <f t="shared" si="71"/>
        <v>1</v>
      </c>
      <c r="H239" s="9" t="s">
        <v>22</v>
      </c>
      <c r="I239" s="9">
        <f t="shared" si="72"/>
        <v>1</v>
      </c>
      <c r="J239" s="9">
        <f t="shared" si="70"/>
        <v>1</v>
      </c>
    </row>
    <row r="240" ht="72">
      <c r="A240" s="24" t="s">
        <v>36</v>
      </c>
      <c r="B240" s="32" t="s">
        <v>222</v>
      </c>
      <c r="C240" s="33" t="s">
        <v>241</v>
      </c>
      <c r="D240" s="32" t="s">
        <v>242</v>
      </c>
      <c r="E240" s="33" t="s">
        <v>245</v>
      </c>
      <c r="F240" s="9" t="s">
        <v>22</v>
      </c>
      <c r="G240" s="9">
        <f t="shared" si="71"/>
        <v>1</v>
      </c>
      <c r="H240" s="9" t="s">
        <v>22</v>
      </c>
      <c r="I240" s="9">
        <f t="shared" si="72"/>
        <v>1</v>
      </c>
      <c r="J240" s="9">
        <f t="shared" si="70"/>
        <v>1</v>
      </c>
    </row>
    <row r="241" ht="72">
      <c r="A241" s="24" t="s">
        <v>36</v>
      </c>
      <c r="B241" s="32" t="s">
        <v>246</v>
      </c>
      <c r="C241" s="33" t="s">
        <v>247</v>
      </c>
      <c r="D241" s="32" t="s">
        <v>248</v>
      </c>
      <c r="E241" s="33" t="s">
        <v>249</v>
      </c>
      <c r="F241" s="9" t="s">
        <v>22</v>
      </c>
      <c r="G241" s="9">
        <f t="shared" si="71"/>
        <v>1</v>
      </c>
      <c r="H241" s="9" t="s">
        <v>22</v>
      </c>
      <c r="I241" s="9">
        <f t="shared" si="72"/>
        <v>1</v>
      </c>
      <c r="J241" s="9">
        <f t="shared" si="70"/>
        <v>1</v>
      </c>
    </row>
    <row r="242" ht="54">
      <c r="A242" s="24" t="s">
        <v>36</v>
      </c>
      <c r="B242" s="32" t="s">
        <v>246</v>
      </c>
      <c r="C242" s="33" t="s">
        <v>247</v>
      </c>
      <c r="D242" s="32" t="s">
        <v>248</v>
      </c>
      <c r="E242" s="33" t="s">
        <v>250</v>
      </c>
      <c r="F242" s="9" t="s">
        <v>70</v>
      </c>
      <c r="G242" s="9">
        <f t="shared" si="71"/>
        <v>0.5</v>
      </c>
      <c r="H242" s="9" t="s">
        <v>70</v>
      </c>
      <c r="I242" s="9">
        <f t="shared" si="72"/>
        <v>0.5</v>
      </c>
      <c r="J242" s="9">
        <f t="shared" si="70"/>
        <v>0.5</v>
      </c>
    </row>
    <row r="243" ht="72">
      <c r="A243" s="24" t="s">
        <v>36</v>
      </c>
      <c r="B243" s="32" t="s">
        <v>246</v>
      </c>
      <c r="C243" s="33" t="s">
        <v>251</v>
      </c>
      <c r="D243" s="32" t="s">
        <v>252</v>
      </c>
      <c r="E243" s="33" t="s">
        <v>253</v>
      </c>
      <c r="F243" s="9" t="s">
        <v>70</v>
      </c>
      <c r="G243" s="9">
        <f t="shared" si="71"/>
        <v>0.5</v>
      </c>
      <c r="H243" s="9" t="s">
        <v>70</v>
      </c>
      <c r="I243" s="9">
        <f t="shared" si="72"/>
        <v>0.5</v>
      </c>
      <c r="J243" s="9">
        <f t="shared" si="70"/>
        <v>0.5</v>
      </c>
    </row>
    <row r="244" ht="72">
      <c r="A244" s="24" t="s">
        <v>36</v>
      </c>
      <c r="B244" s="32" t="s">
        <v>246</v>
      </c>
      <c r="C244" s="33" t="s">
        <v>251</v>
      </c>
      <c r="D244" s="32" t="s">
        <v>252</v>
      </c>
      <c r="E244" s="33" t="s">
        <v>254</v>
      </c>
      <c r="F244" s="9" t="s">
        <v>70</v>
      </c>
      <c r="G244" s="9">
        <f t="shared" si="71"/>
        <v>0.5</v>
      </c>
      <c r="H244" s="9" t="s">
        <v>70</v>
      </c>
      <c r="I244" s="9">
        <f t="shared" si="72"/>
        <v>0.5</v>
      </c>
      <c r="J244" s="9">
        <f t="shared" si="70"/>
        <v>0.5</v>
      </c>
    </row>
    <row r="245" ht="54">
      <c r="A245" s="24" t="s">
        <v>36</v>
      </c>
      <c r="B245" s="32" t="s">
        <v>246</v>
      </c>
      <c r="C245" s="33" t="s">
        <v>251</v>
      </c>
      <c r="D245" s="32" t="s">
        <v>252</v>
      </c>
      <c r="E245" s="33" t="s">
        <v>255</v>
      </c>
      <c r="F245" s="9" t="s">
        <v>70</v>
      </c>
      <c r="G245" s="9">
        <f t="shared" si="71"/>
        <v>0.5</v>
      </c>
      <c r="H245" s="9" t="s">
        <v>70</v>
      </c>
      <c r="I245" s="9">
        <f t="shared" si="72"/>
        <v>0.5</v>
      </c>
      <c r="J245" s="9">
        <f t="shared" si="70"/>
        <v>0.5</v>
      </c>
    </row>
    <row r="246" ht="72">
      <c r="A246" s="24" t="s">
        <v>36</v>
      </c>
      <c r="B246" s="32" t="s">
        <v>246</v>
      </c>
      <c r="C246" s="33" t="s">
        <v>256</v>
      </c>
      <c r="D246" s="32" t="s">
        <v>257</v>
      </c>
      <c r="E246" s="33" t="s">
        <v>258</v>
      </c>
      <c r="F246" s="9" t="s">
        <v>70</v>
      </c>
      <c r="G246" s="9">
        <f t="shared" si="71"/>
        <v>0.5</v>
      </c>
      <c r="H246" s="9" t="s">
        <v>53</v>
      </c>
      <c r="I246" s="9">
        <f t="shared" si="72"/>
        <v>0</v>
      </c>
      <c r="J246" s="9">
        <f t="shared" si="70"/>
        <v>0.25</v>
      </c>
    </row>
    <row r="247" ht="72">
      <c r="A247" s="24" t="s">
        <v>36</v>
      </c>
      <c r="B247" s="32" t="s">
        <v>246</v>
      </c>
      <c r="C247" s="33" t="s">
        <v>256</v>
      </c>
      <c r="D247" s="32" t="s">
        <v>257</v>
      </c>
      <c r="E247" s="33" t="s">
        <v>259</v>
      </c>
      <c r="F247" s="9" t="s">
        <v>53</v>
      </c>
      <c r="G247" s="9">
        <f t="shared" si="71"/>
        <v>0</v>
      </c>
      <c r="H247" s="9" t="s">
        <v>70</v>
      </c>
      <c r="I247" s="9">
        <f t="shared" si="72"/>
        <v>0.5</v>
      </c>
      <c r="J247" s="9">
        <f t="shared" si="70"/>
        <v>0.25</v>
      </c>
    </row>
    <row r="248" ht="54">
      <c r="A248" s="24" t="s">
        <v>36</v>
      </c>
      <c r="B248" s="32" t="s">
        <v>260</v>
      </c>
      <c r="C248" s="33" t="s">
        <v>261</v>
      </c>
      <c r="D248" s="32" t="s">
        <v>262</v>
      </c>
      <c r="E248" s="33" t="s">
        <v>263</v>
      </c>
      <c r="F248" s="9" t="s">
        <v>70</v>
      </c>
      <c r="G248" s="9">
        <f t="shared" si="71"/>
        <v>0.5</v>
      </c>
      <c r="H248" s="9" t="s">
        <v>53</v>
      </c>
      <c r="I248" s="9">
        <f t="shared" si="72"/>
        <v>0</v>
      </c>
      <c r="J248" s="9">
        <f t="shared" si="70"/>
        <v>0.25</v>
      </c>
    </row>
    <row r="249" ht="54">
      <c r="A249" s="24" t="s">
        <v>36</v>
      </c>
      <c r="B249" s="32" t="s">
        <v>260</v>
      </c>
      <c r="C249" s="33" t="s">
        <v>261</v>
      </c>
      <c r="D249" s="32" t="s">
        <v>262</v>
      </c>
      <c r="E249" s="33" t="s">
        <v>264</v>
      </c>
      <c r="F249" s="9" t="s">
        <v>53</v>
      </c>
      <c r="G249" s="9">
        <f t="shared" si="71"/>
        <v>0</v>
      </c>
      <c r="H249" s="9" t="s">
        <v>70</v>
      </c>
      <c r="I249" s="9">
        <f t="shared" si="72"/>
        <v>0.5</v>
      </c>
      <c r="J249" s="9">
        <f t="shared" si="70"/>
        <v>0.25</v>
      </c>
    </row>
    <row r="250" ht="54">
      <c r="A250" s="24" t="s">
        <v>36</v>
      </c>
      <c r="B250" s="32" t="s">
        <v>260</v>
      </c>
      <c r="C250" s="33" t="s">
        <v>261</v>
      </c>
      <c r="D250" s="32" t="s">
        <v>262</v>
      </c>
      <c r="E250" s="33" t="s">
        <v>265</v>
      </c>
      <c r="F250" s="9" t="s">
        <v>53</v>
      </c>
      <c r="G250" s="9">
        <f t="shared" si="71"/>
        <v>0</v>
      </c>
      <c r="H250" s="9" t="s">
        <v>22</v>
      </c>
      <c r="I250" s="9">
        <f t="shared" si="72"/>
        <v>1</v>
      </c>
      <c r="J250" s="9">
        <f t="shared" si="70"/>
        <v>0.5</v>
      </c>
    </row>
    <row r="251" ht="72">
      <c r="A251" s="24" t="s">
        <v>36</v>
      </c>
      <c r="B251" s="32" t="s">
        <v>260</v>
      </c>
      <c r="C251" s="33" t="s">
        <v>266</v>
      </c>
      <c r="D251" s="32" t="s">
        <v>267</v>
      </c>
      <c r="E251" s="33" t="s">
        <v>268</v>
      </c>
      <c r="F251" s="9" t="s">
        <v>22</v>
      </c>
      <c r="G251" s="9">
        <f t="shared" si="71"/>
        <v>1</v>
      </c>
      <c r="H251" s="9" t="s">
        <v>22</v>
      </c>
      <c r="I251" s="9">
        <f t="shared" si="72"/>
        <v>1</v>
      </c>
      <c r="J251" s="9">
        <f t="shared" si="70"/>
        <v>1</v>
      </c>
    </row>
    <row r="252" ht="72">
      <c r="A252" s="24" t="s">
        <v>36</v>
      </c>
      <c r="B252" s="32" t="s">
        <v>260</v>
      </c>
      <c r="C252" s="33" t="s">
        <v>266</v>
      </c>
      <c r="D252" s="32" t="s">
        <v>267</v>
      </c>
      <c r="E252" s="33" t="s">
        <v>269</v>
      </c>
      <c r="F252" s="9" t="s">
        <v>22</v>
      </c>
      <c r="G252" s="9">
        <f t="shared" si="71"/>
        <v>1</v>
      </c>
      <c r="H252" s="9" t="s">
        <v>53</v>
      </c>
      <c r="I252" s="9">
        <f t="shared" si="72"/>
        <v>0</v>
      </c>
      <c r="J252" s="9">
        <f t="shared" si="70"/>
        <v>0.5</v>
      </c>
    </row>
    <row r="253" ht="72">
      <c r="A253" s="24" t="s">
        <v>36</v>
      </c>
      <c r="B253" s="32" t="s">
        <v>260</v>
      </c>
      <c r="C253" s="33" t="s">
        <v>266</v>
      </c>
      <c r="D253" s="32" t="s">
        <v>267</v>
      </c>
      <c r="E253" s="33" t="s">
        <v>270</v>
      </c>
      <c r="F253" s="9" t="s">
        <v>70</v>
      </c>
      <c r="G253" s="9">
        <f t="shared" si="71"/>
        <v>0.5</v>
      </c>
      <c r="H253" s="9" t="s">
        <v>70</v>
      </c>
      <c r="I253" s="9">
        <f t="shared" si="72"/>
        <v>0.5</v>
      </c>
      <c r="J253" s="9">
        <f t="shared" si="70"/>
        <v>0.5</v>
      </c>
    </row>
    <row r="254" ht="72">
      <c r="A254" s="24" t="s">
        <v>36</v>
      </c>
      <c r="B254" s="32" t="s">
        <v>260</v>
      </c>
      <c r="C254" s="33" t="s">
        <v>271</v>
      </c>
      <c r="D254" s="32" t="s">
        <v>272</v>
      </c>
      <c r="E254" s="33" t="s">
        <v>273</v>
      </c>
      <c r="F254" s="9" t="s">
        <v>22</v>
      </c>
      <c r="G254" s="9">
        <f t="shared" si="71"/>
        <v>1</v>
      </c>
      <c r="H254" s="9" t="s">
        <v>53</v>
      </c>
      <c r="I254" s="9">
        <f t="shared" si="72"/>
        <v>0</v>
      </c>
      <c r="J254" s="9">
        <f t="shared" si="70"/>
        <v>0.5</v>
      </c>
    </row>
    <row r="255" ht="72">
      <c r="A255" s="24" t="s">
        <v>36</v>
      </c>
      <c r="B255" s="32" t="s">
        <v>260</v>
      </c>
      <c r="C255" s="33" t="s">
        <v>271</v>
      </c>
      <c r="D255" s="32" t="s">
        <v>272</v>
      </c>
      <c r="E255" s="33" t="s">
        <v>274</v>
      </c>
      <c r="F255" s="9" t="s">
        <v>53</v>
      </c>
      <c r="G255" s="9">
        <f t="shared" si="71"/>
        <v>0</v>
      </c>
      <c r="H255" s="9" t="s">
        <v>70</v>
      </c>
      <c r="I255" s="9">
        <f t="shared" si="72"/>
        <v>0.5</v>
      </c>
      <c r="J255" s="9">
        <f t="shared" si="70"/>
        <v>0.25</v>
      </c>
    </row>
    <row r="256" ht="90">
      <c r="A256" s="24" t="s">
        <v>36</v>
      </c>
      <c r="B256" s="32" t="s">
        <v>260</v>
      </c>
      <c r="C256" s="33" t="s">
        <v>271</v>
      </c>
      <c r="D256" s="32" t="s">
        <v>272</v>
      </c>
      <c r="E256" s="33" t="s">
        <v>275</v>
      </c>
      <c r="F256" s="9" t="s">
        <v>70</v>
      </c>
      <c r="G256" s="9">
        <f t="shared" si="71"/>
        <v>0.5</v>
      </c>
      <c r="H256" s="9" t="s">
        <v>22</v>
      </c>
      <c r="I256" s="9">
        <f t="shared" si="72"/>
        <v>1</v>
      </c>
      <c r="J256" s="9">
        <f t="shared" si="70"/>
        <v>0.75</v>
      </c>
    </row>
    <row r="257" ht="54">
      <c r="A257" s="24" t="s">
        <v>36</v>
      </c>
      <c r="B257" s="32" t="s">
        <v>260</v>
      </c>
      <c r="C257" s="33" t="s">
        <v>276</v>
      </c>
      <c r="D257" s="32" t="s">
        <v>277</v>
      </c>
      <c r="E257" s="33" t="s">
        <v>278</v>
      </c>
      <c r="F257" s="9" t="s">
        <v>22</v>
      </c>
      <c r="G257" s="9">
        <f t="shared" si="71"/>
        <v>1</v>
      </c>
      <c r="H257" s="9" t="s">
        <v>22</v>
      </c>
      <c r="I257" s="9">
        <f t="shared" si="72"/>
        <v>1</v>
      </c>
      <c r="J257" s="9">
        <f t="shared" si="70"/>
        <v>1</v>
      </c>
    </row>
    <row r="258" ht="54">
      <c r="A258" s="24" t="s">
        <v>36</v>
      </c>
      <c r="B258" s="32" t="s">
        <v>260</v>
      </c>
      <c r="C258" s="33" t="s">
        <v>276</v>
      </c>
      <c r="D258" s="32" t="s">
        <v>277</v>
      </c>
      <c r="E258" s="33" t="s">
        <v>279</v>
      </c>
      <c r="F258" s="9" t="s">
        <v>22</v>
      </c>
      <c r="G258" s="9">
        <f t="shared" si="71"/>
        <v>1</v>
      </c>
      <c r="H258" s="9" t="s">
        <v>70</v>
      </c>
      <c r="I258" s="9">
        <f t="shared" si="72"/>
        <v>0.5</v>
      </c>
      <c r="J258" s="9">
        <f t="shared" si="70"/>
        <v>0.75</v>
      </c>
    </row>
    <row r="259" ht="54">
      <c r="A259" s="24" t="s">
        <v>36</v>
      </c>
      <c r="B259" s="32" t="s">
        <v>260</v>
      </c>
      <c r="C259" s="33" t="s">
        <v>276</v>
      </c>
      <c r="D259" s="32" t="s">
        <v>277</v>
      </c>
      <c r="E259" s="33" t="s">
        <v>280</v>
      </c>
      <c r="F259" s="9" t="s">
        <v>22</v>
      </c>
      <c r="G259" s="9">
        <f t="shared" si="71"/>
        <v>1</v>
      </c>
      <c r="H259" s="9" t="s">
        <v>53</v>
      </c>
      <c r="I259" s="9">
        <f t="shared" si="72"/>
        <v>0</v>
      </c>
      <c r="J259" s="9">
        <f t="shared" si="70"/>
        <v>0.5</v>
      </c>
    </row>
    <row r="260" ht="90">
      <c r="A260" s="24" t="s">
        <v>36</v>
      </c>
      <c r="B260" s="32" t="s">
        <v>260</v>
      </c>
      <c r="C260" s="33" t="s">
        <v>281</v>
      </c>
      <c r="D260" s="32" t="s">
        <v>282</v>
      </c>
      <c r="E260" s="33" t="s">
        <v>283</v>
      </c>
      <c r="F260" s="9" t="s">
        <v>70</v>
      </c>
      <c r="G260" s="9">
        <f t="shared" si="71"/>
        <v>0.5</v>
      </c>
      <c r="H260" s="9" t="s">
        <v>70</v>
      </c>
      <c r="I260" s="9">
        <f t="shared" si="72"/>
        <v>0.5</v>
      </c>
      <c r="J260" s="9">
        <f t="shared" ref="J260:J323" si="73">AVERAGE(G260,I260)</f>
        <v>0.5</v>
      </c>
    </row>
    <row r="261" ht="90">
      <c r="A261" s="24" t="s">
        <v>36</v>
      </c>
      <c r="B261" s="32" t="s">
        <v>260</v>
      </c>
      <c r="C261" s="33" t="s">
        <v>281</v>
      </c>
      <c r="D261" s="32" t="s">
        <v>282</v>
      </c>
      <c r="E261" s="33" t="s">
        <v>284</v>
      </c>
      <c r="F261" s="9" t="s">
        <v>70</v>
      </c>
      <c r="G261" s="9">
        <f t="shared" ref="G261:G324" si="74">IF(F261="Cumple",1,IF(F261="Cumple Parcialmente",0.5,IF(F261="No Cumple",0,"")))</f>
        <v>0.5</v>
      </c>
      <c r="H261" s="9" t="s">
        <v>22</v>
      </c>
      <c r="I261" s="9">
        <f t="shared" ref="I261:I324" si="75">IF(H261="Cumple",1,IF(H261="Cumple Parcialmente",0.5,IF(H261="No Cumple",0,"")))</f>
        <v>1</v>
      </c>
      <c r="J261" s="9">
        <f t="shared" si="73"/>
        <v>0.75</v>
      </c>
    </row>
    <row r="262" ht="36">
      <c r="A262" s="24" t="s">
        <v>36</v>
      </c>
      <c r="B262" s="32" t="s">
        <v>285</v>
      </c>
      <c r="C262" s="33" t="s">
        <v>286</v>
      </c>
      <c r="D262" s="32" t="s">
        <v>287</v>
      </c>
      <c r="E262" s="33" t="s">
        <v>288</v>
      </c>
      <c r="F262" s="9" t="s">
        <v>22</v>
      </c>
      <c r="G262" s="9">
        <f t="shared" si="74"/>
        <v>1</v>
      </c>
      <c r="H262" s="9" t="s">
        <v>53</v>
      </c>
      <c r="I262" s="9">
        <f t="shared" si="75"/>
        <v>0</v>
      </c>
      <c r="J262" s="9">
        <f t="shared" si="73"/>
        <v>0.5</v>
      </c>
    </row>
    <row r="263" ht="54">
      <c r="A263" s="24" t="s">
        <v>36</v>
      </c>
      <c r="B263" s="32" t="s">
        <v>285</v>
      </c>
      <c r="C263" s="33" t="s">
        <v>286</v>
      </c>
      <c r="D263" s="32" t="s">
        <v>287</v>
      </c>
      <c r="E263" s="33" t="s">
        <v>289</v>
      </c>
      <c r="F263" s="9" t="s">
        <v>53</v>
      </c>
      <c r="G263" s="9">
        <f t="shared" si="74"/>
        <v>0</v>
      </c>
      <c r="H263" s="9" t="s">
        <v>70</v>
      </c>
      <c r="I263" s="9">
        <f t="shared" si="75"/>
        <v>0.5</v>
      </c>
      <c r="J263" s="9">
        <f t="shared" si="73"/>
        <v>0.25</v>
      </c>
    </row>
    <row r="264" ht="90">
      <c r="A264" s="24" t="s">
        <v>36</v>
      </c>
      <c r="B264" s="32" t="s">
        <v>285</v>
      </c>
      <c r="C264" s="33" t="s">
        <v>290</v>
      </c>
      <c r="D264" s="32" t="s">
        <v>291</v>
      </c>
      <c r="E264" s="33" t="s">
        <v>292</v>
      </c>
      <c r="F264" s="9" t="s">
        <v>70</v>
      </c>
      <c r="G264" s="9">
        <f t="shared" si="74"/>
        <v>0.5</v>
      </c>
      <c r="H264" s="9" t="s">
        <v>53</v>
      </c>
      <c r="I264" s="9">
        <f t="shared" si="75"/>
        <v>0</v>
      </c>
      <c r="J264" s="9">
        <f t="shared" si="73"/>
        <v>0.25</v>
      </c>
    </row>
    <row r="265" ht="36">
      <c r="A265" s="24" t="s">
        <v>36</v>
      </c>
      <c r="B265" s="32" t="s">
        <v>285</v>
      </c>
      <c r="C265" s="33" t="s">
        <v>290</v>
      </c>
      <c r="D265" s="32" t="s">
        <v>291</v>
      </c>
      <c r="E265" s="33" t="s">
        <v>293</v>
      </c>
      <c r="F265" s="9" t="s">
        <v>53</v>
      </c>
      <c r="G265" s="9">
        <f t="shared" si="74"/>
        <v>0</v>
      </c>
      <c r="H265" s="9" t="s">
        <v>53</v>
      </c>
      <c r="I265" s="9">
        <f t="shared" si="75"/>
        <v>0</v>
      </c>
      <c r="J265" s="9">
        <f t="shared" si="73"/>
        <v>0</v>
      </c>
    </row>
    <row r="266" ht="72">
      <c r="A266" s="24" t="s">
        <v>36</v>
      </c>
      <c r="B266" s="32" t="s">
        <v>285</v>
      </c>
      <c r="C266" s="33" t="s">
        <v>290</v>
      </c>
      <c r="D266" s="32" t="s">
        <v>291</v>
      </c>
      <c r="E266" s="33" t="s">
        <v>294</v>
      </c>
      <c r="F266" s="9" t="s">
        <v>53</v>
      </c>
      <c r="G266" s="9">
        <f t="shared" si="74"/>
        <v>0</v>
      </c>
      <c r="H266" s="9" t="s">
        <v>53</v>
      </c>
      <c r="I266" s="9">
        <f t="shared" si="75"/>
        <v>0</v>
      </c>
      <c r="J266" s="9">
        <f t="shared" si="73"/>
        <v>0</v>
      </c>
    </row>
    <row r="267" ht="54">
      <c r="A267" s="24" t="s">
        <v>36</v>
      </c>
      <c r="B267" s="32" t="s">
        <v>285</v>
      </c>
      <c r="C267" s="33" t="s">
        <v>295</v>
      </c>
      <c r="D267" s="32" t="s">
        <v>296</v>
      </c>
      <c r="E267" s="33" t="s">
        <v>297</v>
      </c>
      <c r="F267" s="9" t="s">
        <v>70</v>
      </c>
      <c r="G267" s="9">
        <f t="shared" si="74"/>
        <v>0.5</v>
      </c>
      <c r="H267" s="9" t="s">
        <v>53</v>
      </c>
      <c r="I267" s="9">
        <f t="shared" si="75"/>
        <v>0</v>
      </c>
      <c r="J267" s="9">
        <f t="shared" si="73"/>
        <v>0.25</v>
      </c>
    </row>
    <row r="268" ht="72">
      <c r="A268" s="24" t="s">
        <v>36</v>
      </c>
      <c r="B268" s="32" t="s">
        <v>285</v>
      </c>
      <c r="C268" s="33" t="s">
        <v>295</v>
      </c>
      <c r="D268" s="32" t="s">
        <v>296</v>
      </c>
      <c r="E268" s="33" t="s">
        <v>298</v>
      </c>
      <c r="F268" s="9" t="s">
        <v>70</v>
      </c>
      <c r="G268" s="9">
        <f t="shared" si="74"/>
        <v>0.5</v>
      </c>
      <c r="H268" s="9" t="s">
        <v>53</v>
      </c>
      <c r="I268" s="9">
        <f t="shared" si="75"/>
        <v>0</v>
      </c>
      <c r="J268" s="9">
        <f t="shared" si="73"/>
        <v>0.25</v>
      </c>
    </row>
    <row r="269" ht="54">
      <c r="A269" s="24" t="s">
        <v>36</v>
      </c>
      <c r="B269" s="32" t="s">
        <v>285</v>
      </c>
      <c r="C269" s="33" t="s">
        <v>295</v>
      </c>
      <c r="D269" s="32" t="s">
        <v>296</v>
      </c>
      <c r="E269" s="33" t="s">
        <v>299</v>
      </c>
      <c r="F269" s="9" t="s">
        <v>53</v>
      </c>
      <c r="G269" s="9">
        <f t="shared" si="74"/>
        <v>0</v>
      </c>
      <c r="H269" s="9" t="s">
        <v>53</v>
      </c>
      <c r="I269" s="9">
        <f t="shared" si="75"/>
        <v>0</v>
      </c>
      <c r="J269" s="9">
        <f t="shared" si="73"/>
        <v>0</v>
      </c>
    </row>
    <row r="270" ht="36">
      <c r="A270" s="24" t="s">
        <v>36</v>
      </c>
      <c r="B270" s="32" t="s">
        <v>285</v>
      </c>
      <c r="C270" s="33" t="s">
        <v>300</v>
      </c>
      <c r="D270" s="32" t="s">
        <v>301</v>
      </c>
      <c r="E270" s="33" t="s">
        <v>302</v>
      </c>
      <c r="F270" s="9" t="s">
        <v>53</v>
      </c>
      <c r="G270" s="9">
        <f t="shared" si="74"/>
        <v>0</v>
      </c>
      <c r="H270" s="9" t="s">
        <v>53</v>
      </c>
      <c r="I270" s="9">
        <f t="shared" si="75"/>
        <v>0</v>
      </c>
      <c r="J270" s="9">
        <f t="shared" si="73"/>
        <v>0</v>
      </c>
    </row>
    <row r="271" ht="36">
      <c r="A271" s="24" t="s">
        <v>36</v>
      </c>
      <c r="B271" s="32" t="s">
        <v>285</v>
      </c>
      <c r="C271" s="33" t="s">
        <v>300</v>
      </c>
      <c r="D271" s="32" t="s">
        <v>301</v>
      </c>
      <c r="E271" s="33" t="s">
        <v>303</v>
      </c>
      <c r="F271" s="9" t="s">
        <v>53</v>
      </c>
      <c r="G271" s="9">
        <f t="shared" si="74"/>
        <v>0</v>
      </c>
      <c r="H271" s="9" t="s">
        <v>70</v>
      </c>
      <c r="I271" s="9">
        <f t="shared" si="75"/>
        <v>0.5</v>
      </c>
      <c r="J271" s="9">
        <f t="shared" si="73"/>
        <v>0.25</v>
      </c>
    </row>
    <row r="272" ht="36">
      <c r="A272" s="24" t="s">
        <v>36</v>
      </c>
      <c r="B272" s="32" t="s">
        <v>285</v>
      </c>
      <c r="C272" s="33" t="s">
        <v>300</v>
      </c>
      <c r="D272" s="32" t="s">
        <v>301</v>
      </c>
      <c r="E272" s="33" t="s">
        <v>304</v>
      </c>
      <c r="F272" s="9" t="s">
        <v>53</v>
      </c>
      <c r="G272" s="9">
        <f t="shared" si="74"/>
        <v>0</v>
      </c>
      <c r="H272" s="9" t="s">
        <v>53</v>
      </c>
      <c r="I272" s="9">
        <f t="shared" si="75"/>
        <v>0</v>
      </c>
      <c r="J272" s="9">
        <f t="shared" si="73"/>
        <v>0</v>
      </c>
    </row>
    <row r="273" ht="72">
      <c r="A273" s="24" t="s">
        <v>36</v>
      </c>
      <c r="B273" s="32" t="s">
        <v>305</v>
      </c>
      <c r="C273" s="33" t="s">
        <v>306</v>
      </c>
      <c r="D273" s="32" t="s">
        <v>307</v>
      </c>
      <c r="E273" s="33" t="s">
        <v>308</v>
      </c>
      <c r="F273" s="9" t="s">
        <v>22</v>
      </c>
      <c r="G273" s="9">
        <f t="shared" si="74"/>
        <v>1</v>
      </c>
      <c r="H273" s="9" t="s">
        <v>70</v>
      </c>
      <c r="I273" s="9">
        <f t="shared" si="75"/>
        <v>0.5</v>
      </c>
      <c r="J273" s="9">
        <f t="shared" si="73"/>
        <v>0.75</v>
      </c>
    </row>
    <row r="274" ht="72">
      <c r="A274" s="24" t="s">
        <v>36</v>
      </c>
      <c r="B274" s="32" t="s">
        <v>305</v>
      </c>
      <c r="C274" s="33" t="s">
        <v>306</v>
      </c>
      <c r="D274" s="32" t="s">
        <v>307</v>
      </c>
      <c r="E274" s="33" t="s">
        <v>309</v>
      </c>
      <c r="F274" s="9" t="s">
        <v>70</v>
      </c>
      <c r="G274" s="9">
        <f t="shared" si="74"/>
        <v>0.5</v>
      </c>
      <c r="H274" s="9" t="s">
        <v>22</v>
      </c>
      <c r="I274" s="9">
        <f t="shared" si="75"/>
        <v>1</v>
      </c>
      <c r="J274" s="9">
        <f t="shared" si="73"/>
        <v>0.75</v>
      </c>
    </row>
    <row r="275" ht="72">
      <c r="A275" s="24" t="s">
        <v>36</v>
      </c>
      <c r="B275" s="32" t="s">
        <v>305</v>
      </c>
      <c r="C275" s="33" t="s">
        <v>306</v>
      </c>
      <c r="D275" s="32" t="s">
        <v>307</v>
      </c>
      <c r="E275" s="33" t="s">
        <v>310</v>
      </c>
      <c r="F275" s="9" t="s">
        <v>53</v>
      </c>
      <c r="G275" s="9">
        <f t="shared" si="74"/>
        <v>0</v>
      </c>
      <c r="H275" s="9" t="s">
        <v>22</v>
      </c>
      <c r="I275" s="9">
        <f t="shared" si="75"/>
        <v>1</v>
      </c>
      <c r="J275" s="9">
        <f t="shared" si="73"/>
        <v>0.5</v>
      </c>
    </row>
    <row r="276" ht="36">
      <c r="A276" s="24" t="s">
        <v>36</v>
      </c>
      <c r="B276" s="32" t="s">
        <v>305</v>
      </c>
      <c r="C276" s="33" t="s">
        <v>311</v>
      </c>
      <c r="D276" s="32" t="s">
        <v>312</v>
      </c>
      <c r="E276" s="33" t="s">
        <v>313</v>
      </c>
      <c r="F276" s="9" t="s">
        <v>22</v>
      </c>
      <c r="G276" s="9">
        <f t="shared" si="74"/>
        <v>1</v>
      </c>
      <c r="H276" s="9" t="s">
        <v>22</v>
      </c>
      <c r="I276" s="9">
        <f t="shared" si="75"/>
        <v>1</v>
      </c>
      <c r="J276" s="9">
        <f t="shared" si="73"/>
        <v>1</v>
      </c>
    </row>
    <row r="277" ht="36">
      <c r="A277" s="24" t="s">
        <v>36</v>
      </c>
      <c r="B277" s="32" t="s">
        <v>305</v>
      </c>
      <c r="C277" s="33" t="s">
        <v>311</v>
      </c>
      <c r="D277" s="32" t="s">
        <v>312</v>
      </c>
      <c r="E277" s="33" t="s">
        <v>314</v>
      </c>
      <c r="F277" s="9" t="s">
        <v>22</v>
      </c>
      <c r="G277" s="9">
        <f t="shared" si="74"/>
        <v>1</v>
      </c>
      <c r="H277" s="9" t="s">
        <v>53</v>
      </c>
      <c r="I277" s="9">
        <f t="shared" si="75"/>
        <v>0</v>
      </c>
      <c r="J277" s="9">
        <f t="shared" si="73"/>
        <v>0.5</v>
      </c>
    </row>
    <row r="278" ht="36">
      <c r="A278" s="24" t="s">
        <v>36</v>
      </c>
      <c r="B278" s="32" t="s">
        <v>305</v>
      </c>
      <c r="C278" s="33" t="s">
        <v>311</v>
      </c>
      <c r="D278" s="32" t="s">
        <v>312</v>
      </c>
      <c r="E278" s="33" t="s">
        <v>315</v>
      </c>
      <c r="F278" s="9" t="s">
        <v>22</v>
      </c>
      <c r="G278" s="9">
        <f t="shared" si="74"/>
        <v>1</v>
      </c>
      <c r="H278" s="9" t="s">
        <v>53</v>
      </c>
      <c r="I278" s="9">
        <f t="shared" si="75"/>
        <v>0</v>
      </c>
      <c r="J278" s="9">
        <f t="shared" si="73"/>
        <v>0.5</v>
      </c>
    </row>
    <row r="279" ht="36">
      <c r="A279" s="24" t="s">
        <v>36</v>
      </c>
      <c r="B279" s="32" t="s">
        <v>305</v>
      </c>
      <c r="C279" s="33" t="s">
        <v>316</v>
      </c>
      <c r="D279" s="32" t="s">
        <v>317</v>
      </c>
      <c r="E279" s="33" t="s">
        <v>318</v>
      </c>
      <c r="F279" s="9" t="s">
        <v>53</v>
      </c>
      <c r="G279" s="9">
        <f t="shared" si="74"/>
        <v>0</v>
      </c>
      <c r="H279" s="9" t="s">
        <v>53</v>
      </c>
      <c r="I279" s="9">
        <f t="shared" si="75"/>
        <v>0</v>
      </c>
      <c r="J279" s="9">
        <f t="shared" si="73"/>
        <v>0</v>
      </c>
    </row>
    <row r="280" ht="36">
      <c r="A280" s="24" t="s">
        <v>36</v>
      </c>
      <c r="B280" s="32" t="s">
        <v>305</v>
      </c>
      <c r="C280" s="33" t="s">
        <v>316</v>
      </c>
      <c r="D280" s="32" t="s">
        <v>317</v>
      </c>
      <c r="E280" s="33" t="s">
        <v>319</v>
      </c>
      <c r="F280" s="9" t="s">
        <v>53</v>
      </c>
      <c r="G280" s="9">
        <f t="shared" si="74"/>
        <v>0</v>
      </c>
      <c r="H280" s="9" t="s">
        <v>53</v>
      </c>
      <c r="I280" s="9">
        <f t="shared" si="75"/>
        <v>0</v>
      </c>
      <c r="J280" s="9">
        <f t="shared" si="73"/>
        <v>0</v>
      </c>
    </row>
    <row r="281" ht="36">
      <c r="A281" s="24" t="s">
        <v>36</v>
      </c>
      <c r="B281" s="32" t="s">
        <v>305</v>
      </c>
      <c r="C281" s="33" t="s">
        <v>320</v>
      </c>
      <c r="D281" s="32" t="s">
        <v>321</v>
      </c>
      <c r="E281" s="33" t="s">
        <v>322</v>
      </c>
      <c r="F281" s="9" t="s">
        <v>22</v>
      </c>
      <c r="G281" s="9">
        <f t="shared" si="74"/>
        <v>1</v>
      </c>
      <c r="H281" s="9" t="s">
        <v>53</v>
      </c>
      <c r="I281" s="9">
        <f t="shared" si="75"/>
        <v>0</v>
      </c>
      <c r="J281" s="9">
        <f t="shared" si="73"/>
        <v>0.5</v>
      </c>
    </row>
    <row r="282" ht="36">
      <c r="A282" s="24" t="s">
        <v>36</v>
      </c>
      <c r="B282" s="32" t="s">
        <v>305</v>
      </c>
      <c r="C282" s="33" t="s">
        <v>320</v>
      </c>
      <c r="D282" s="32" t="s">
        <v>321</v>
      </c>
      <c r="E282" s="33" t="s">
        <v>323</v>
      </c>
      <c r="F282" s="9" t="s">
        <v>22</v>
      </c>
      <c r="G282" s="9">
        <f t="shared" si="74"/>
        <v>1</v>
      </c>
      <c r="H282" s="9" t="s">
        <v>53</v>
      </c>
      <c r="I282" s="9">
        <f t="shared" si="75"/>
        <v>0</v>
      </c>
      <c r="J282" s="9">
        <f t="shared" si="73"/>
        <v>0.5</v>
      </c>
    </row>
    <row r="283" ht="36">
      <c r="A283" s="24" t="s">
        <v>36</v>
      </c>
      <c r="B283" s="25" t="s">
        <v>305</v>
      </c>
      <c r="C283" s="26" t="s">
        <v>320</v>
      </c>
      <c r="D283" s="25" t="s">
        <v>321</v>
      </c>
      <c r="E283" s="26" t="s">
        <v>324</v>
      </c>
      <c r="F283" s="9" t="s">
        <v>22</v>
      </c>
      <c r="G283" s="9">
        <f t="shared" si="74"/>
        <v>1</v>
      </c>
      <c r="H283" s="9" t="s">
        <v>70</v>
      </c>
      <c r="I283" s="9">
        <f t="shared" si="75"/>
        <v>0.5</v>
      </c>
      <c r="J283" s="9">
        <f t="shared" si="73"/>
        <v>0.75</v>
      </c>
    </row>
    <row r="284" ht="54">
      <c r="A284" s="24" t="s">
        <v>38</v>
      </c>
      <c r="B284" s="32" t="s">
        <v>222</v>
      </c>
      <c r="C284" s="33" t="s">
        <v>223</v>
      </c>
      <c r="D284" s="32" t="s">
        <v>224</v>
      </c>
      <c r="E284" s="33" t="s">
        <v>225</v>
      </c>
      <c r="F284" s="9" t="s">
        <v>22</v>
      </c>
      <c r="G284" s="9">
        <f t="shared" si="74"/>
        <v>1</v>
      </c>
      <c r="H284" s="9" t="s">
        <v>22</v>
      </c>
      <c r="I284" s="9">
        <f t="shared" si="75"/>
        <v>1</v>
      </c>
      <c r="J284" s="9">
        <f t="shared" si="73"/>
        <v>1</v>
      </c>
    </row>
    <row r="285" ht="36">
      <c r="A285" s="24" t="s">
        <v>38</v>
      </c>
      <c r="B285" s="32" t="s">
        <v>222</v>
      </c>
      <c r="C285" s="33" t="s">
        <v>223</v>
      </c>
      <c r="D285" s="32" t="s">
        <v>224</v>
      </c>
      <c r="E285" s="33" t="s">
        <v>226</v>
      </c>
      <c r="F285" s="9" t="s">
        <v>22</v>
      </c>
      <c r="G285" s="9">
        <f t="shared" si="74"/>
        <v>1</v>
      </c>
      <c r="H285" s="9" t="s">
        <v>22</v>
      </c>
      <c r="I285" s="9">
        <f t="shared" si="75"/>
        <v>1</v>
      </c>
      <c r="J285" s="9">
        <f t="shared" si="73"/>
        <v>1</v>
      </c>
    </row>
    <row r="286" ht="72">
      <c r="A286" s="24" t="s">
        <v>38</v>
      </c>
      <c r="B286" s="32" t="s">
        <v>222</v>
      </c>
      <c r="C286" s="33" t="s">
        <v>223</v>
      </c>
      <c r="D286" s="32" t="s">
        <v>224</v>
      </c>
      <c r="E286" s="33" t="s">
        <v>227</v>
      </c>
      <c r="F286" s="9" t="s">
        <v>70</v>
      </c>
      <c r="G286" s="9">
        <f t="shared" si="74"/>
        <v>0.5</v>
      </c>
      <c r="H286" s="9" t="s">
        <v>70</v>
      </c>
      <c r="I286" s="9">
        <f t="shared" si="75"/>
        <v>0.5</v>
      </c>
      <c r="J286" s="9">
        <f t="shared" si="73"/>
        <v>0.5</v>
      </c>
    </row>
    <row r="287" ht="72">
      <c r="A287" s="24" t="s">
        <v>38</v>
      </c>
      <c r="B287" s="32" t="s">
        <v>222</v>
      </c>
      <c r="C287" s="33" t="s">
        <v>228</v>
      </c>
      <c r="D287" s="32" t="s">
        <v>229</v>
      </c>
      <c r="E287" s="33" t="s">
        <v>230</v>
      </c>
      <c r="F287" s="9" t="s">
        <v>70</v>
      </c>
      <c r="G287" s="9">
        <f t="shared" si="74"/>
        <v>0.5</v>
      </c>
      <c r="H287" s="9" t="s">
        <v>70</v>
      </c>
      <c r="I287" s="9">
        <f t="shared" si="75"/>
        <v>0.5</v>
      </c>
      <c r="J287" s="9">
        <f t="shared" si="73"/>
        <v>0.5</v>
      </c>
    </row>
    <row r="288" ht="72">
      <c r="A288" s="24" t="s">
        <v>38</v>
      </c>
      <c r="B288" s="32" t="s">
        <v>222</v>
      </c>
      <c r="C288" s="33" t="s">
        <v>228</v>
      </c>
      <c r="D288" s="32" t="s">
        <v>229</v>
      </c>
      <c r="E288" s="33" t="s">
        <v>231</v>
      </c>
      <c r="F288" s="9" t="s">
        <v>70</v>
      </c>
      <c r="G288" s="9">
        <f t="shared" si="74"/>
        <v>0.5</v>
      </c>
      <c r="H288" s="9" t="s">
        <v>70</v>
      </c>
      <c r="I288" s="9">
        <f t="shared" si="75"/>
        <v>0.5</v>
      </c>
      <c r="J288" s="9">
        <f t="shared" si="73"/>
        <v>0.5</v>
      </c>
    </row>
    <row r="289" ht="72">
      <c r="A289" s="24" t="s">
        <v>38</v>
      </c>
      <c r="B289" s="32" t="s">
        <v>222</v>
      </c>
      <c r="C289" s="33" t="s">
        <v>232</v>
      </c>
      <c r="D289" s="32" t="s">
        <v>233</v>
      </c>
      <c r="E289" s="33" t="s">
        <v>234</v>
      </c>
      <c r="F289" s="9" t="s">
        <v>70</v>
      </c>
      <c r="G289" s="9">
        <f t="shared" si="74"/>
        <v>0.5</v>
      </c>
      <c r="H289" s="9" t="s">
        <v>70</v>
      </c>
      <c r="I289" s="9">
        <f t="shared" si="75"/>
        <v>0.5</v>
      </c>
      <c r="J289" s="9">
        <f t="shared" si="73"/>
        <v>0.5</v>
      </c>
    </row>
    <row r="290" ht="72">
      <c r="A290" s="24" t="s">
        <v>38</v>
      </c>
      <c r="B290" s="32" t="s">
        <v>222</v>
      </c>
      <c r="C290" s="33" t="s">
        <v>232</v>
      </c>
      <c r="D290" s="32" t="s">
        <v>233</v>
      </c>
      <c r="E290" s="33" t="s">
        <v>235</v>
      </c>
      <c r="F290" s="9" t="s">
        <v>70</v>
      </c>
      <c r="G290" s="9">
        <f t="shared" si="74"/>
        <v>0.5</v>
      </c>
      <c r="H290" s="9" t="s">
        <v>70</v>
      </c>
      <c r="I290" s="9">
        <f t="shared" si="75"/>
        <v>0.5</v>
      </c>
      <c r="J290" s="9">
        <f t="shared" si="73"/>
        <v>0.5</v>
      </c>
    </row>
    <row r="291" ht="72">
      <c r="A291" s="24" t="s">
        <v>38</v>
      </c>
      <c r="B291" s="32" t="s">
        <v>222</v>
      </c>
      <c r="C291" s="33" t="s">
        <v>232</v>
      </c>
      <c r="D291" s="32" t="s">
        <v>233</v>
      </c>
      <c r="E291" s="33" t="s">
        <v>236</v>
      </c>
      <c r="F291" s="9" t="s">
        <v>70</v>
      </c>
      <c r="G291" s="9">
        <f t="shared" si="74"/>
        <v>0.5</v>
      </c>
      <c r="H291" s="9" t="s">
        <v>70</v>
      </c>
      <c r="I291" s="9">
        <f t="shared" si="75"/>
        <v>0.5</v>
      </c>
      <c r="J291" s="9">
        <f t="shared" si="73"/>
        <v>0.5</v>
      </c>
    </row>
    <row r="292" ht="72">
      <c r="A292" s="24" t="s">
        <v>38</v>
      </c>
      <c r="B292" s="32" t="s">
        <v>222</v>
      </c>
      <c r="C292" s="33" t="s">
        <v>237</v>
      </c>
      <c r="D292" s="32" t="s">
        <v>238</v>
      </c>
      <c r="E292" s="33" t="s">
        <v>239</v>
      </c>
      <c r="F292" s="9" t="s">
        <v>53</v>
      </c>
      <c r="G292" s="9">
        <f t="shared" si="74"/>
        <v>0</v>
      </c>
      <c r="H292" s="9" t="s">
        <v>70</v>
      </c>
      <c r="I292" s="9">
        <f t="shared" si="75"/>
        <v>0.5</v>
      </c>
      <c r="J292" s="9">
        <f t="shared" si="73"/>
        <v>0.25</v>
      </c>
    </row>
    <row r="293" ht="54">
      <c r="A293" s="24" t="s">
        <v>38</v>
      </c>
      <c r="B293" s="32" t="s">
        <v>222</v>
      </c>
      <c r="C293" s="33" t="s">
        <v>237</v>
      </c>
      <c r="D293" s="32" t="s">
        <v>238</v>
      </c>
      <c r="E293" s="33" t="s">
        <v>240</v>
      </c>
      <c r="F293" s="9" t="s">
        <v>22</v>
      </c>
      <c r="G293" s="9">
        <f t="shared" si="74"/>
        <v>1</v>
      </c>
      <c r="H293" s="9" t="s">
        <v>53</v>
      </c>
      <c r="I293" s="9">
        <f t="shared" si="75"/>
        <v>0</v>
      </c>
      <c r="J293" s="9">
        <f t="shared" si="73"/>
        <v>0.5</v>
      </c>
    </row>
    <row r="294" ht="54">
      <c r="A294" s="24" t="s">
        <v>38</v>
      </c>
      <c r="B294" s="32" t="s">
        <v>222</v>
      </c>
      <c r="C294" s="33" t="s">
        <v>241</v>
      </c>
      <c r="D294" s="32" t="s">
        <v>242</v>
      </c>
      <c r="E294" s="33" t="s">
        <v>243</v>
      </c>
      <c r="F294" s="9" t="s">
        <v>22</v>
      </c>
      <c r="G294" s="9">
        <f t="shared" si="74"/>
        <v>1</v>
      </c>
      <c r="H294" s="9" t="s">
        <v>22</v>
      </c>
      <c r="I294" s="9">
        <f t="shared" si="75"/>
        <v>1</v>
      </c>
      <c r="J294" s="9">
        <f t="shared" si="73"/>
        <v>1</v>
      </c>
    </row>
    <row r="295" ht="54">
      <c r="A295" s="24" t="s">
        <v>38</v>
      </c>
      <c r="B295" s="32" t="s">
        <v>222</v>
      </c>
      <c r="C295" s="33" t="s">
        <v>241</v>
      </c>
      <c r="D295" s="32" t="s">
        <v>242</v>
      </c>
      <c r="E295" s="33" t="s">
        <v>244</v>
      </c>
      <c r="F295" s="9" t="s">
        <v>22</v>
      </c>
      <c r="G295" s="9">
        <f t="shared" si="74"/>
        <v>1</v>
      </c>
      <c r="H295" s="9" t="s">
        <v>70</v>
      </c>
      <c r="I295" s="9">
        <f t="shared" si="75"/>
        <v>0.5</v>
      </c>
      <c r="J295" s="9">
        <f t="shared" si="73"/>
        <v>0.75</v>
      </c>
    </row>
    <row r="296" ht="72">
      <c r="A296" s="24" t="s">
        <v>38</v>
      </c>
      <c r="B296" s="32" t="s">
        <v>222</v>
      </c>
      <c r="C296" s="33" t="s">
        <v>241</v>
      </c>
      <c r="D296" s="32" t="s">
        <v>242</v>
      </c>
      <c r="E296" s="33" t="s">
        <v>245</v>
      </c>
      <c r="F296" s="9" t="s">
        <v>22</v>
      </c>
      <c r="G296" s="9">
        <f t="shared" si="74"/>
        <v>1</v>
      </c>
      <c r="H296" s="9" t="s">
        <v>22</v>
      </c>
      <c r="I296" s="9">
        <f t="shared" si="75"/>
        <v>1</v>
      </c>
      <c r="J296" s="9">
        <f t="shared" si="73"/>
        <v>1</v>
      </c>
    </row>
    <row r="297" ht="72">
      <c r="A297" s="24" t="s">
        <v>38</v>
      </c>
      <c r="B297" s="32" t="s">
        <v>246</v>
      </c>
      <c r="C297" s="33" t="s">
        <v>247</v>
      </c>
      <c r="D297" s="32" t="s">
        <v>248</v>
      </c>
      <c r="E297" s="33" t="s">
        <v>249</v>
      </c>
      <c r="F297" s="9" t="s">
        <v>22</v>
      </c>
      <c r="G297" s="9">
        <f t="shared" si="74"/>
        <v>1</v>
      </c>
      <c r="H297" s="9" t="s">
        <v>22</v>
      </c>
      <c r="I297" s="9">
        <f t="shared" si="75"/>
        <v>1</v>
      </c>
      <c r="J297" s="9">
        <f t="shared" si="73"/>
        <v>1</v>
      </c>
    </row>
    <row r="298" ht="54">
      <c r="A298" s="24" t="s">
        <v>38</v>
      </c>
      <c r="B298" s="32" t="s">
        <v>246</v>
      </c>
      <c r="C298" s="33" t="s">
        <v>247</v>
      </c>
      <c r="D298" s="32" t="s">
        <v>248</v>
      </c>
      <c r="E298" s="33" t="s">
        <v>250</v>
      </c>
      <c r="F298" s="9" t="s">
        <v>22</v>
      </c>
      <c r="G298" s="9">
        <f t="shared" si="74"/>
        <v>1</v>
      </c>
      <c r="H298" s="9" t="s">
        <v>22</v>
      </c>
      <c r="I298" s="9">
        <f t="shared" si="75"/>
        <v>1</v>
      </c>
      <c r="J298" s="9">
        <f t="shared" si="73"/>
        <v>1</v>
      </c>
    </row>
    <row r="299" ht="72">
      <c r="A299" s="24" t="s">
        <v>38</v>
      </c>
      <c r="B299" s="32" t="s">
        <v>246</v>
      </c>
      <c r="C299" s="33" t="s">
        <v>251</v>
      </c>
      <c r="D299" s="32" t="s">
        <v>252</v>
      </c>
      <c r="E299" s="33" t="s">
        <v>253</v>
      </c>
      <c r="F299" s="9" t="s">
        <v>22</v>
      </c>
      <c r="G299" s="9">
        <f t="shared" si="74"/>
        <v>1</v>
      </c>
      <c r="H299" s="9" t="s">
        <v>70</v>
      </c>
      <c r="I299" s="9">
        <f t="shared" si="75"/>
        <v>0.5</v>
      </c>
      <c r="J299" s="9">
        <f t="shared" si="73"/>
        <v>0.75</v>
      </c>
    </row>
    <row r="300" ht="72">
      <c r="A300" s="24" t="s">
        <v>38</v>
      </c>
      <c r="B300" s="32" t="s">
        <v>246</v>
      </c>
      <c r="C300" s="33" t="s">
        <v>251</v>
      </c>
      <c r="D300" s="32" t="s">
        <v>252</v>
      </c>
      <c r="E300" s="33" t="s">
        <v>254</v>
      </c>
      <c r="F300" s="9" t="s">
        <v>22</v>
      </c>
      <c r="G300" s="9">
        <f t="shared" si="74"/>
        <v>1</v>
      </c>
      <c r="H300" s="9" t="s">
        <v>70</v>
      </c>
      <c r="I300" s="9">
        <f t="shared" si="75"/>
        <v>0.5</v>
      </c>
      <c r="J300" s="9">
        <f t="shared" si="73"/>
        <v>0.75</v>
      </c>
    </row>
    <row r="301" ht="54">
      <c r="A301" s="24" t="s">
        <v>38</v>
      </c>
      <c r="B301" s="32" t="s">
        <v>246</v>
      </c>
      <c r="C301" s="33" t="s">
        <v>251</v>
      </c>
      <c r="D301" s="32" t="s">
        <v>252</v>
      </c>
      <c r="E301" s="33" t="s">
        <v>255</v>
      </c>
      <c r="F301" s="9" t="s">
        <v>22</v>
      </c>
      <c r="G301" s="9">
        <f t="shared" si="74"/>
        <v>1</v>
      </c>
      <c r="H301" s="9" t="s">
        <v>70</v>
      </c>
      <c r="I301" s="9">
        <f t="shared" si="75"/>
        <v>0.5</v>
      </c>
      <c r="J301" s="9">
        <f t="shared" si="73"/>
        <v>0.75</v>
      </c>
    </row>
    <row r="302" ht="72">
      <c r="A302" s="24" t="s">
        <v>38</v>
      </c>
      <c r="B302" s="32" t="s">
        <v>246</v>
      </c>
      <c r="C302" s="33" t="s">
        <v>256</v>
      </c>
      <c r="D302" s="32" t="s">
        <v>257</v>
      </c>
      <c r="E302" s="33" t="s">
        <v>258</v>
      </c>
      <c r="F302" s="9" t="s">
        <v>22</v>
      </c>
      <c r="G302" s="9">
        <f t="shared" si="74"/>
        <v>1</v>
      </c>
      <c r="H302" s="9" t="s">
        <v>70</v>
      </c>
      <c r="I302" s="9">
        <f t="shared" si="75"/>
        <v>0.5</v>
      </c>
      <c r="J302" s="9">
        <f t="shared" si="73"/>
        <v>0.75</v>
      </c>
    </row>
    <row r="303" ht="72">
      <c r="A303" s="24" t="s">
        <v>38</v>
      </c>
      <c r="B303" s="32" t="s">
        <v>246</v>
      </c>
      <c r="C303" s="33" t="s">
        <v>256</v>
      </c>
      <c r="D303" s="32" t="s">
        <v>257</v>
      </c>
      <c r="E303" s="33" t="s">
        <v>259</v>
      </c>
      <c r="F303" s="9" t="s">
        <v>53</v>
      </c>
      <c r="G303" s="9">
        <f t="shared" si="74"/>
        <v>0</v>
      </c>
      <c r="H303" s="9" t="s">
        <v>53</v>
      </c>
      <c r="I303" s="9">
        <f t="shared" si="75"/>
        <v>0</v>
      </c>
      <c r="J303" s="9">
        <f t="shared" si="73"/>
        <v>0</v>
      </c>
    </row>
    <row r="304" ht="54">
      <c r="A304" s="24" t="s">
        <v>38</v>
      </c>
      <c r="B304" s="32" t="s">
        <v>260</v>
      </c>
      <c r="C304" s="33" t="s">
        <v>261</v>
      </c>
      <c r="D304" s="32" t="s">
        <v>262</v>
      </c>
      <c r="E304" s="33" t="s">
        <v>263</v>
      </c>
      <c r="F304" s="9" t="s">
        <v>70</v>
      </c>
      <c r="G304" s="9">
        <f t="shared" si="74"/>
        <v>0.5</v>
      </c>
      <c r="H304" s="9" t="s">
        <v>70</v>
      </c>
      <c r="I304" s="9">
        <f t="shared" si="75"/>
        <v>0.5</v>
      </c>
      <c r="J304" s="9">
        <f t="shared" si="73"/>
        <v>0.5</v>
      </c>
    </row>
    <row r="305" ht="54">
      <c r="A305" s="24" t="s">
        <v>38</v>
      </c>
      <c r="B305" s="32" t="s">
        <v>260</v>
      </c>
      <c r="C305" s="33" t="s">
        <v>261</v>
      </c>
      <c r="D305" s="32" t="s">
        <v>262</v>
      </c>
      <c r="E305" s="33" t="s">
        <v>264</v>
      </c>
      <c r="F305" s="9" t="s">
        <v>53</v>
      </c>
      <c r="G305" s="9">
        <f t="shared" si="74"/>
        <v>0</v>
      </c>
      <c r="H305" s="9" t="s">
        <v>53</v>
      </c>
      <c r="I305" s="9">
        <f t="shared" si="75"/>
        <v>0</v>
      </c>
      <c r="J305" s="9">
        <f t="shared" si="73"/>
        <v>0</v>
      </c>
    </row>
    <row r="306" ht="54">
      <c r="A306" s="24" t="s">
        <v>38</v>
      </c>
      <c r="B306" s="32" t="s">
        <v>260</v>
      </c>
      <c r="C306" s="33" t="s">
        <v>261</v>
      </c>
      <c r="D306" s="32" t="s">
        <v>262</v>
      </c>
      <c r="E306" s="33" t="s">
        <v>265</v>
      </c>
      <c r="F306" s="9" t="s">
        <v>53</v>
      </c>
      <c r="G306" s="9">
        <f t="shared" si="74"/>
        <v>0</v>
      </c>
      <c r="H306" s="9" t="s">
        <v>70</v>
      </c>
      <c r="I306" s="9">
        <f t="shared" si="75"/>
        <v>0.5</v>
      </c>
      <c r="J306" s="9">
        <f t="shared" si="73"/>
        <v>0.25</v>
      </c>
    </row>
    <row r="307" ht="72">
      <c r="A307" s="24" t="s">
        <v>38</v>
      </c>
      <c r="B307" s="32" t="s">
        <v>260</v>
      </c>
      <c r="C307" s="33" t="s">
        <v>266</v>
      </c>
      <c r="D307" s="32" t="s">
        <v>267</v>
      </c>
      <c r="E307" s="33" t="s">
        <v>268</v>
      </c>
      <c r="F307" s="9" t="s">
        <v>22</v>
      </c>
      <c r="G307" s="9">
        <f t="shared" si="74"/>
        <v>1</v>
      </c>
      <c r="H307" s="9" t="s">
        <v>22</v>
      </c>
      <c r="I307" s="9">
        <f t="shared" si="75"/>
        <v>1</v>
      </c>
      <c r="J307" s="9">
        <f t="shared" si="73"/>
        <v>1</v>
      </c>
    </row>
    <row r="308" ht="72">
      <c r="A308" s="24" t="s">
        <v>38</v>
      </c>
      <c r="B308" s="32" t="s">
        <v>260</v>
      </c>
      <c r="C308" s="33" t="s">
        <v>266</v>
      </c>
      <c r="D308" s="32" t="s">
        <v>267</v>
      </c>
      <c r="E308" s="33" t="s">
        <v>269</v>
      </c>
      <c r="F308" s="9" t="s">
        <v>22</v>
      </c>
      <c r="G308" s="9">
        <f t="shared" si="74"/>
        <v>1</v>
      </c>
      <c r="H308" s="9" t="s">
        <v>22</v>
      </c>
      <c r="I308" s="9">
        <f t="shared" si="75"/>
        <v>1</v>
      </c>
      <c r="J308" s="9">
        <f t="shared" si="73"/>
        <v>1</v>
      </c>
    </row>
    <row r="309" ht="72">
      <c r="A309" s="24" t="s">
        <v>38</v>
      </c>
      <c r="B309" s="32" t="s">
        <v>260</v>
      </c>
      <c r="C309" s="33" t="s">
        <v>266</v>
      </c>
      <c r="D309" s="32" t="s">
        <v>267</v>
      </c>
      <c r="E309" s="33" t="s">
        <v>270</v>
      </c>
      <c r="F309" s="9" t="s">
        <v>22</v>
      </c>
      <c r="G309" s="9">
        <f t="shared" si="74"/>
        <v>1</v>
      </c>
      <c r="H309" s="9" t="s">
        <v>53</v>
      </c>
      <c r="I309" s="9">
        <f t="shared" si="75"/>
        <v>0</v>
      </c>
      <c r="J309" s="9">
        <f t="shared" si="73"/>
        <v>0.5</v>
      </c>
    </row>
    <row r="310" ht="72">
      <c r="A310" s="24" t="s">
        <v>38</v>
      </c>
      <c r="B310" s="32" t="s">
        <v>260</v>
      </c>
      <c r="C310" s="33" t="s">
        <v>271</v>
      </c>
      <c r="D310" s="32" t="s">
        <v>272</v>
      </c>
      <c r="E310" s="33" t="s">
        <v>273</v>
      </c>
      <c r="F310" s="9" t="s">
        <v>70</v>
      </c>
      <c r="G310" s="9">
        <f t="shared" si="74"/>
        <v>0.5</v>
      </c>
      <c r="H310" s="9" t="s">
        <v>70</v>
      </c>
      <c r="I310" s="9">
        <f t="shared" si="75"/>
        <v>0.5</v>
      </c>
      <c r="J310" s="9">
        <f t="shared" si="73"/>
        <v>0.5</v>
      </c>
    </row>
    <row r="311" ht="72">
      <c r="A311" s="24" t="s">
        <v>38</v>
      </c>
      <c r="B311" s="32" t="s">
        <v>260</v>
      </c>
      <c r="C311" s="33" t="s">
        <v>271</v>
      </c>
      <c r="D311" s="32" t="s">
        <v>272</v>
      </c>
      <c r="E311" s="33" t="s">
        <v>274</v>
      </c>
      <c r="F311" s="9" t="s">
        <v>53</v>
      </c>
      <c r="G311" s="9">
        <f t="shared" si="74"/>
        <v>0</v>
      </c>
      <c r="H311" s="9" t="s">
        <v>53</v>
      </c>
      <c r="I311" s="9">
        <f t="shared" si="75"/>
        <v>0</v>
      </c>
      <c r="J311" s="9">
        <f t="shared" si="73"/>
        <v>0</v>
      </c>
    </row>
    <row r="312" ht="90">
      <c r="A312" s="24" t="s">
        <v>38</v>
      </c>
      <c r="B312" s="32" t="s">
        <v>260</v>
      </c>
      <c r="C312" s="33" t="s">
        <v>271</v>
      </c>
      <c r="D312" s="32" t="s">
        <v>272</v>
      </c>
      <c r="E312" s="33" t="s">
        <v>275</v>
      </c>
      <c r="F312" s="9" t="s">
        <v>53</v>
      </c>
      <c r="G312" s="9">
        <f t="shared" si="74"/>
        <v>0</v>
      </c>
      <c r="H312" s="9" t="s">
        <v>70</v>
      </c>
      <c r="I312" s="9">
        <f t="shared" si="75"/>
        <v>0.5</v>
      </c>
      <c r="J312" s="9">
        <f t="shared" si="73"/>
        <v>0.25</v>
      </c>
    </row>
    <row r="313" ht="54">
      <c r="A313" s="24" t="s">
        <v>38</v>
      </c>
      <c r="B313" s="32" t="s">
        <v>260</v>
      </c>
      <c r="C313" s="33" t="s">
        <v>276</v>
      </c>
      <c r="D313" s="32" t="s">
        <v>277</v>
      </c>
      <c r="E313" s="33" t="s">
        <v>278</v>
      </c>
      <c r="F313" s="9" t="s">
        <v>22</v>
      </c>
      <c r="G313" s="9">
        <f t="shared" si="74"/>
        <v>1</v>
      </c>
      <c r="H313" s="9" t="s">
        <v>22</v>
      </c>
      <c r="I313" s="9">
        <f t="shared" si="75"/>
        <v>1</v>
      </c>
      <c r="J313" s="9">
        <f t="shared" si="73"/>
        <v>1</v>
      </c>
    </row>
    <row r="314" ht="54">
      <c r="A314" s="24" t="s">
        <v>38</v>
      </c>
      <c r="B314" s="32" t="s">
        <v>260</v>
      </c>
      <c r="C314" s="33" t="s">
        <v>276</v>
      </c>
      <c r="D314" s="32" t="s">
        <v>277</v>
      </c>
      <c r="E314" s="33" t="s">
        <v>279</v>
      </c>
      <c r="F314" s="9" t="s">
        <v>70</v>
      </c>
      <c r="G314" s="9">
        <f t="shared" si="74"/>
        <v>0.5</v>
      </c>
      <c r="H314" s="9" t="s">
        <v>22</v>
      </c>
      <c r="I314" s="9">
        <f t="shared" si="75"/>
        <v>1</v>
      </c>
      <c r="J314" s="9">
        <f t="shared" si="73"/>
        <v>0.75</v>
      </c>
    </row>
    <row r="315" ht="54">
      <c r="A315" s="24" t="s">
        <v>38</v>
      </c>
      <c r="B315" s="32" t="s">
        <v>260</v>
      </c>
      <c r="C315" s="33" t="s">
        <v>276</v>
      </c>
      <c r="D315" s="32" t="s">
        <v>277</v>
      </c>
      <c r="E315" s="33" t="s">
        <v>280</v>
      </c>
      <c r="F315" s="9" t="s">
        <v>22</v>
      </c>
      <c r="G315" s="9">
        <f t="shared" si="74"/>
        <v>1</v>
      </c>
      <c r="H315" s="9" t="s">
        <v>70</v>
      </c>
      <c r="I315" s="9">
        <f t="shared" si="75"/>
        <v>0.5</v>
      </c>
      <c r="J315" s="9">
        <f t="shared" si="73"/>
        <v>0.75</v>
      </c>
    </row>
    <row r="316" ht="90">
      <c r="A316" s="24" t="s">
        <v>38</v>
      </c>
      <c r="B316" s="32" t="s">
        <v>260</v>
      </c>
      <c r="C316" s="33" t="s">
        <v>281</v>
      </c>
      <c r="D316" s="32" t="s">
        <v>282</v>
      </c>
      <c r="E316" s="33" t="s">
        <v>283</v>
      </c>
      <c r="F316" s="9" t="s">
        <v>53</v>
      </c>
      <c r="G316" s="9">
        <f t="shared" si="74"/>
        <v>0</v>
      </c>
      <c r="H316" s="9" t="s">
        <v>53</v>
      </c>
      <c r="I316" s="9">
        <f t="shared" si="75"/>
        <v>0</v>
      </c>
      <c r="J316" s="9">
        <f t="shared" si="73"/>
        <v>0</v>
      </c>
    </row>
    <row r="317" ht="90">
      <c r="A317" s="24" t="s">
        <v>38</v>
      </c>
      <c r="B317" s="32" t="s">
        <v>260</v>
      </c>
      <c r="C317" s="33" t="s">
        <v>281</v>
      </c>
      <c r="D317" s="32" t="s">
        <v>282</v>
      </c>
      <c r="E317" s="33" t="s">
        <v>284</v>
      </c>
      <c r="F317" s="9" t="s">
        <v>53</v>
      </c>
      <c r="G317" s="9">
        <f t="shared" si="74"/>
        <v>0</v>
      </c>
      <c r="H317" s="9" t="s">
        <v>70</v>
      </c>
      <c r="I317" s="9">
        <f t="shared" si="75"/>
        <v>0.5</v>
      </c>
      <c r="J317" s="9">
        <f t="shared" si="73"/>
        <v>0.25</v>
      </c>
    </row>
    <row r="318" ht="36">
      <c r="A318" s="24" t="s">
        <v>38</v>
      </c>
      <c r="B318" s="32" t="s">
        <v>285</v>
      </c>
      <c r="C318" s="33" t="s">
        <v>286</v>
      </c>
      <c r="D318" s="32" t="s">
        <v>287</v>
      </c>
      <c r="E318" s="33" t="s">
        <v>288</v>
      </c>
      <c r="F318" s="9" t="s">
        <v>22</v>
      </c>
      <c r="G318" s="9">
        <f t="shared" si="74"/>
        <v>1</v>
      </c>
      <c r="H318" s="9" t="s">
        <v>22</v>
      </c>
      <c r="I318" s="9">
        <f t="shared" si="75"/>
        <v>1</v>
      </c>
      <c r="J318" s="9">
        <f t="shared" si="73"/>
        <v>1</v>
      </c>
    </row>
    <row r="319" ht="54">
      <c r="A319" s="24" t="s">
        <v>38</v>
      </c>
      <c r="B319" s="32" t="s">
        <v>285</v>
      </c>
      <c r="C319" s="33" t="s">
        <v>286</v>
      </c>
      <c r="D319" s="32" t="s">
        <v>287</v>
      </c>
      <c r="E319" s="33" t="s">
        <v>289</v>
      </c>
      <c r="F319" s="9" t="s">
        <v>53</v>
      </c>
      <c r="G319" s="9">
        <f t="shared" si="74"/>
        <v>0</v>
      </c>
      <c r="H319" s="9" t="s">
        <v>53</v>
      </c>
      <c r="I319" s="9">
        <f t="shared" si="75"/>
        <v>0</v>
      </c>
      <c r="J319" s="9">
        <f t="shared" si="73"/>
        <v>0</v>
      </c>
    </row>
    <row r="320" ht="90">
      <c r="A320" s="24" t="s">
        <v>38</v>
      </c>
      <c r="B320" s="32" t="s">
        <v>285</v>
      </c>
      <c r="C320" s="33" t="s">
        <v>290</v>
      </c>
      <c r="D320" s="32" t="s">
        <v>291</v>
      </c>
      <c r="E320" s="33" t="s">
        <v>292</v>
      </c>
      <c r="F320" s="9" t="s">
        <v>22</v>
      </c>
      <c r="G320" s="9">
        <f t="shared" si="74"/>
        <v>1</v>
      </c>
      <c r="H320" s="9" t="s">
        <v>70</v>
      </c>
      <c r="I320" s="9">
        <f t="shared" si="75"/>
        <v>0.5</v>
      </c>
      <c r="J320" s="9">
        <f t="shared" si="73"/>
        <v>0.75</v>
      </c>
    </row>
    <row r="321" ht="36">
      <c r="A321" s="24" t="s">
        <v>38</v>
      </c>
      <c r="B321" s="32" t="s">
        <v>285</v>
      </c>
      <c r="C321" s="33" t="s">
        <v>290</v>
      </c>
      <c r="D321" s="32" t="s">
        <v>291</v>
      </c>
      <c r="E321" s="33" t="s">
        <v>293</v>
      </c>
      <c r="F321" s="9" t="s">
        <v>53</v>
      </c>
      <c r="G321" s="9">
        <f t="shared" si="74"/>
        <v>0</v>
      </c>
      <c r="H321" s="9" t="s">
        <v>53</v>
      </c>
      <c r="I321" s="9">
        <f t="shared" si="75"/>
        <v>0</v>
      </c>
      <c r="J321" s="9">
        <f t="shared" si="73"/>
        <v>0</v>
      </c>
    </row>
    <row r="322" ht="72">
      <c r="A322" s="24" t="s">
        <v>38</v>
      </c>
      <c r="B322" s="32" t="s">
        <v>285</v>
      </c>
      <c r="C322" s="33" t="s">
        <v>290</v>
      </c>
      <c r="D322" s="32" t="s">
        <v>291</v>
      </c>
      <c r="E322" s="33" t="s">
        <v>294</v>
      </c>
      <c r="F322" s="9" t="s">
        <v>70</v>
      </c>
      <c r="G322" s="9">
        <f t="shared" si="74"/>
        <v>0.5</v>
      </c>
      <c r="H322" s="9" t="s">
        <v>53</v>
      </c>
      <c r="I322" s="9">
        <f t="shared" si="75"/>
        <v>0</v>
      </c>
      <c r="J322" s="9">
        <f t="shared" si="73"/>
        <v>0.25</v>
      </c>
    </row>
    <row r="323" ht="54">
      <c r="A323" s="24" t="s">
        <v>38</v>
      </c>
      <c r="B323" s="32" t="s">
        <v>285</v>
      </c>
      <c r="C323" s="33" t="s">
        <v>295</v>
      </c>
      <c r="D323" s="32" t="s">
        <v>296</v>
      </c>
      <c r="E323" s="33" t="s">
        <v>297</v>
      </c>
      <c r="F323" s="9" t="s">
        <v>22</v>
      </c>
      <c r="G323" s="9">
        <f t="shared" si="74"/>
        <v>1</v>
      </c>
      <c r="H323" s="9" t="s">
        <v>53</v>
      </c>
      <c r="I323" s="9">
        <f t="shared" si="75"/>
        <v>0</v>
      </c>
      <c r="J323" s="9">
        <f t="shared" si="73"/>
        <v>0.5</v>
      </c>
    </row>
    <row r="324" ht="72">
      <c r="A324" s="24" t="s">
        <v>38</v>
      </c>
      <c r="B324" s="32" t="s">
        <v>285</v>
      </c>
      <c r="C324" s="33" t="s">
        <v>295</v>
      </c>
      <c r="D324" s="32" t="s">
        <v>296</v>
      </c>
      <c r="E324" s="33" t="s">
        <v>298</v>
      </c>
      <c r="F324" s="9" t="s">
        <v>22</v>
      </c>
      <c r="G324" s="9">
        <f t="shared" si="74"/>
        <v>1</v>
      </c>
      <c r="H324" s="9" t="s">
        <v>53</v>
      </c>
      <c r="I324" s="9">
        <f t="shared" si="75"/>
        <v>0</v>
      </c>
      <c r="J324" s="9">
        <f t="shared" ref="J324:J387" si="76">AVERAGE(G324,I324)</f>
        <v>0.5</v>
      </c>
    </row>
    <row r="325" ht="54">
      <c r="A325" s="24" t="s">
        <v>38</v>
      </c>
      <c r="B325" s="32" t="s">
        <v>285</v>
      </c>
      <c r="C325" s="33" t="s">
        <v>295</v>
      </c>
      <c r="D325" s="32" t="s">
        <v>296</v>
      </c>
      <c r="E325" s="33" t="s">
        <v>299</v>
      </c>
      <c r="F325" s="9" t="s">
        <v>22</v>
      </c>
      <c r="G325" s="9">
        <f t="shared" ref="G325:G388" si="77">IF(F325="Cumple",1,IF(F325="Cumple Parcialmente",0.5,IF(F325="No Cumple",0,"")))</f>
        <v>1</v>
      </c>
      <c r="H325" s="9" t="s">
        <v>53</v>
      </c>
      <c r="I325" s="9">
        <f t="shared" ref="I325:I388" si="78">IF(H325="Cumple",1,IF(H325="Cumple Parcialmente",0.5,IF(H325="No Cumple",0,"")))</f>
        <v>0</v>
      </c>
      <c r="J325" s="9">
        <f t="shared" si="76"/>
        <v>0.5</v>
      </c>
    </row>
    <row r="326" ht="36">
      <c r="A326" s="24" t="s">
        <v>38</v>
      </c>
      <c r="B326" s="32" t="s">
        <v>285</v>
      </c>
      <c r="C326" s="33" t="s">
        <v>300</v>
      </c>
      <c r="D326" s="32" t="s">
        <v>301</v>
      </c>
      <c r="E326" s="33" t="s">
        <v>302</v>
      </c>
      <c r="F326" s="9" t="s">
        <v>22</v>
      </c>
      <c r="G326" s="9">
        <f t="shared" si="77"/>
        <v>1</v>
      </c>
      <c r="H326" s="9" t="s">
        <v>53</v>
      </c>
      <c r="I326" s="9">
        <f t="shared" si="78"/>
        <v>0</v>
      </c>
      <c r="J326" s="9">
        <f t="shared" si="76"/>
        <v>0.5</v>
      </c>
    </row>
    <row r="327" ht="36">
      <c r="A327" s="24" t="s">
        <v>38</v>
      </c>
      <c r="B327" s="32" t="s">
        <v>285</v>
      </c>
      <c r="C327" s="33" t="s">
        <v>300</v>
      </c>
      <c r="D327" s="32" t="s">
        <v>301</v>
      </c>
      <c r="E327" s="33" t="s">
        <v>303</v>
      </c>
      <c r="F327" s="9" t="s">
        <v>53</v>
      </c>
      <c r="G327" s="9">
        <f t="shared" si="77"/>
        <v>0</v>
      </c>
      <c r="H327" s="9" t="s">
        <v>53</v>
      </c>
      <c r="I327" s="9">
        <f t="shared" si="78"/>
        <v>0</v>
      </c>
      <c r="J327" s="9">
        <f t="shared" si="76"/>
        <v>0</v>
      </c>
    </row>
    <row r="328" ht="36">
      <c r="A328" s="24" t="s">
        <v>38</v>
      </c>
      <c r="B328" s="32" t="s">
        <v>285</v>
      </c>
      <c r="C328" s="33" t="s">
        <v>300</v>
      </c>
      <c r="D328" s="32" t="s">
        <v>301</v>
      </c>
      <c r="E328" s="33" t="s">
        <v>304</v>
      </c>
      <c r="F328" s="9" t="s">
        <v>53</v>
      </c>
      <c r="G328" s="9">
        <f t="shared" si="77"/>
        <v>0</v>
      </c>
      <c r="H328" s="9" t="s">
        <v>70</v>
      </c>
      <c r="I328" s="9">
        <f t="shared" si="78"/>
        <v>0.5</v>
      </c>
      <c r="J328" s="9">
        <f t="shared" si="76"/>
        <v>0.25</v>
      </c>
    </row>
    <row r="329" ht="72">
      <c r="A329" s="24" t="s">
        <v>38</v>
      </c>
      <c r="B329" s="32" t="s">
        <v>305</v>
      </c>
      <c r="C329" s="33" t="s">
        <v>306</v>
      </c>
      <c r="D329" s="32" t="s">
        <v>307</v>
      </c>
      <c r="E329" s="33" t="s">
        <v>308</v>
      </c>
      <c r="F329" s="9" t="s">
        <v>22</v>
      </c>
      <c r="G329" s="9">
        <f t="shared" si="77"/>
        <v>1</v>
      </c>
      <c r="H329" s="9" t="s">
        <v>53</v>
      </c>
      <c r="I329" s="9">
        <f t="shared" si="78"/>
        <v>0</v>
      </c>
      <c r="J329" s="9">
        <f t="shared" si="76"/>
        <v>0.5</v>
      </c>
    </row>
    <row r="330" ht="72">
      <c r="A330" s="24" t="s">
        <v>38</v>
      </c>
      <c r="B330" s="32" t="s">
        <v>305</v>
      </c>
      <c r="C330" s="33" t="s">
        <v>306</v>
      </c>
      <c r="D330" s="32" t="s">
        <v>307</v>
      </c>
      <c r="E330" s="33" t="s">
        <v>309</v>
      </c>
      <c r="F330" s="9" t="s">
        <v>22</v>
      </c>
      <c r="G330" s="9">
        <f t="shared" si="77"/>
        <v>1</v>
      </c>
      <c r="H330" s="9" t="s">
        <v>70</v>
      </c>
      <c r="I330" s="9">
        <f t="shared" si="78"/>
        <v>0.5</v>
      </c>
      <c r="J330" s="9">
        <f t="shared" si="76"/>
        <v>0.75</v>
      </c>
    </row>
    <row r="331" ht="72">
      <c r="A331" s="24" t="s">
        <v>38</v>
      </c>
      <c r="B331" s="32" t="s">
        <v>305</v>
      </c>
      <c r="C331" s="33" t="s">
        <v>306</v>
      </c>
      <c r="D331" s="32" t="s">
        <v>307</v>
      </c>
      <c r="E331" s="33" t="s">
        <v>310</v>
      </c>
      <c r="F331" s="9" t="s">
        <v>53</v>
      </c>
      <c r="G331" s="9">
        <f t="shared" si="77"/>
        <v>0</v>
      </c>
      <c r="H331" s="9" t="s">
        <v>22</v>
      </c>
      <c r="I331" s="9">
        <f t="shared" si="78"/>
        <v>1</v>
      </c>
      <c r="J331" s="9">
        <f t="shared" si="76"/>
        <v>0.5</v>
      </c>
    </row>
    <row r="332" ht="36">
      <c r="A332" s="24" t="s">
        <v>38</v>
      </c>
      <c r="B332" s="32" t="s">
        <v>305</v>
      </c>
      <c r="C332" s="33" t="s">
        <v>311</v>
      </c>
      <c r="D332" s="32" t="s">
        <v>312</v>
      </c>
      <c r="E332" s="33" t="s">
        <v>313</v>
      </c>
      <c r="F332" s="9" t="s">
        <v>22</v>
      </c>
      <c r="G332" s="9">
        <f t="shared" si="77"/>
        <v>1</v>
      </c>
      <c r="H332" s="9" t="s">
        <v>22</v>
      </c>
      <c r="I332" s="9">
        <f t="shared" si="78"/>
        <v>1</v>
      </c>
      <c r="J332" s="9">
        <f t="shared" si="76"/>
        <v>1</v>
      </c>
    </row>
    <row r="333" ht="36">
      <c r="A333" s="24" t="s">
        <v>38</v>
      </c>
      <c r="B333" s="32" t="s">
        <v>305</v>
      </c>
      <c r="C333" s="33" t="s">
        <v>311</v>
      </c>
      <c r="D333" s="32" t="s">
        <v>312</v>
      </c>
      <c r="E333" s="33" t="s">
        <v>314</v>
      </c>
      <c r="F333" s="9" t="s">
        <v>53</v>
      </c>
      <c r="G333" s="9">
        <f t="shared" si="77"/>
        <v>0</v>
      </c>
      <c r="H333" s="9" t="s">
        <v>22</v>
      </c>
      <c r="I333" s="9">
        <f t="shared" si="78"/>
        <v>1</v>
      </c>
      <c r="J333" s="9">
        <f t="shared" si="76"/>
        <v>0.5</v>
      </c>
    </row>
    <row r="334" ht="36">
      <c r="A334" s="24" t="s">
        <v>38</v>
      </c>
      <c r="B334" s="32" t="s">
        <v>305</v>
      </c>
      <c r="C334" s="33" t="s">
        <v>311</v>
      </c>
      <c r="D334" s="32" t="s">
        <v>312</v>
      </c>
      <c r="E334" s="33" t="s">
        <v>315</v>
      </c>
      <c r="F334" s="9" t="s">
        <v>22</v>
      </c>
      <c r="G334" s="9">
        <f t="shared" si="77"/>
        <v>1</v>
      </c>
      <c r="H334" s="9" t="s">
        <v>53</v>
      </c>
      <c r="I334" s="9">
        <f t="shared" si="78"/>
        <v>0</v>
      </c>
      <c r="J334" s="9">
        <f t="shared" si="76"/>
        <v>0.5</v>
      </c>
    </row>
    <row r="335" ht="36">
      <c r="A335" s="24" t="s">
        <v>38</v>
      </c>
      <c r="B335" s="32" t="s">
        <v>305</v>
      </c>
      <c r="C335" s="33" t="s">
        <v>316</v>
      </c>
      <c r="D335" s="32" t="s">
        <v>317</v>
      </c>
      <c r="E335" s="33" t="s">
        <v>318</v>
      </c>
      <c r="F335" s="9" t="s">
        <v>70</v>
      </c>
      <c r="G335" s="9">
        <f t="shared" si="77"/>
        <v>0.5</v>
      </c>
      <c r="H335" s="9" t="s">
        <v>53</v>
      </c>
      <c r="I335" s="9">
        <f t="shared" si="78"/>
        <v>0</v>
      </c>
      <c r="J335" s="9">
        <f t="shared" si="76"/>
        <v>0.25</v>
      </c>
    </row>
    <row r="336" ht="36">
      <c r="A336" s="24" t="s">
        <v>38</v>
      </c>
      <c r="B336" s="32" t="s">
        <v>305</v>
      </c>
      <c r="C336" s="33" t="s">
        <v>316</v>
      </c>
      <c r="D336" s="32" t="s">
        <v>317</v>
      </c>
      <c r="E336" s="33" t="s">
        <v>319</v>
      </c>
      <c r="F336" s="9" t="s">
        <v>22</v>
      </c>
      <c r="G336" s="9">
        <f t="shared" si="77"/>
        <v>1</v>
      </c>
      <c r="H336" s="9" t="s">
        <v>53</v>
      </c>
      <c r="I336" s="9">
        <f t="shared" si="78"/>
        <v>0</v>
      </c>
      <c r="J336" s="9">
        <f t="shared" si="76"/>
        <v>0.5</v>
      </c>
    </row>
    <row r="337" ht="36">
      <c r="A337" s="24" t="s">
        <v>38</v>
      </c>
      <c r="B337" s="32" t="s">
        <v>305</v>
      </c>
      <c r="C337" s="33" t="s">
        <v>320</v>
      </c>
      <c r="D337" s="32" t="s">
        <v>321</v>
      </c>
      <c r="E337" s="33" t="s">
        <v>322</v>
      </c>
      <c r="F337" s="9" t="s">
        <v>22</v>
      </c>
      <c r="G337" s="9">
        <f t="shared" si="77"/>
        <v>1</v>
      </c>
      <c r="H337" s="9" t="s">
        <v>53</v>
      </c>
      <c r="I337" s="9">
        <f t="shared" si="78"/>
        <v>0</v>
      </c>
      <c r="J337" s="9">
        <f t="shared" si="76"/>
        <v>0.5</v>
      </c>
    </row>
    <row r="338" ht="36">
      <c r="A338" s="24" t="s">
        <v>38</v>
      </c>
      <c r="B338" s="32" t="s">
        <v>305</v>
      </c>
      <c r="C338" s="33" t="s">
        <v>320</v>
      </c>
      <c r="D338" s="32" t="s">
        <v>321</v>
      </c>
      <c r="E338" s="33" t="s">
        <v>323</v>
      </c>
      <c r="F338" s="9" t="s">
        <v>53</v>
      </c>
      <c r="G338" s="9">
        <f t="shared" si="77"/>
        <v>0</v>
      </c>
      <c r="H338" s="9" t="s">
        <v>53</v>
      </c>
      <c r="I338" s="9">
        <f t="shared" si="78"/>
        <v>0</v>
      </c>
      <c r="J338" s="9">
        <f t="shared" si="76"/>
        <v>0</v>
      </c>
    </row>
    <row r="339" ht="36">
      <c r="A339" s="24" t="s">
        <v>38</v>
      </c>
      <c r="B339" s="25" t="s">
        <v>305</v>
      </c>
      <c r="C339" s="26" t="s">
        <v>320</v>
      </c>
      <c r="D339" s="25" t="s">
        <v>321</v>
      </c>
      <c r="E339" s="26" t="s">
        <v>324</v>
      </c>
      <c r="F339" s="9" t="s">
        <v>22</v>
      </c>
      <c r="G339" s="9">
        <f t="shared" si="77"/>
        <v>1</v>
      </c>
      <c r="H339" s="9" t="s">
        <v>53</v>
      </c>
      <c r="I339" s="9">
        <f t="shared" si="78"/>
        <v>0</v>
      </c>
      <c r="J339" s="9">
        <f t="shared" si="76"/>
        <v>0.5</v>
      </c>
    </row>
    <row r="340" ht="54">
      <c r="A340" s="24" t="s">
        <v>42</v>
      </c>
      <c r="B340" s="32" t="s">
        <v>222</v>
      </c>
      <c r="C340" s="33" t="s">
        <v>223</v>
      </c>
      <c r="D340" s="32" t="s">
        <v>224</v>
      </c>
      <c r="E340" s="33" t="s">
        <v>225</v>
      </c>
      <c r="F340" s="9" t="s">
        <v>22</v>
      </c>
      <c r="G340" s="9">
        <f t="shared" si="77"/>
        <v>1</v>
      </c>
      <c r="H340" s="9" t="s">
        <v>22</v>
      </c>
      <c r="I340" s="9">
        <f t="shared" si="78"/>
        <v>1</v>
      </c>
      <c r="J340" s="9">
        <f t="shared" si="76"/>
        <v>1</v>
      </c>
    </row>
    <row r="341" ht="36">
      <c r="A341" s="24" t="s">
        <v>42</v>
      </c>
      <c r="B341" s="32" t="s">
        <v>222</v>
      </c>
      <c r="C341" s="33" t="s">
        <v>223</v>
      </c>
      <c r="D341" s="32" t="s">
        <v>224</v>
      </c>
      <c r="E341" s="33" t="s">
        <v>226</v>
      </c>
      <c r="F341" s="9" t="s">
        <v>70</v>
      </c>
      <c r="G341" s="9">
        <f t="shared" si="77"/>
        <v>0.5</v>
      </c>
      <c r="H341" s="9" t="s">
        <v>22</v>
      </c>
      <c r="I341" s="9">
        <f t="shared" si="78"/>
        <v>1</v>
      </c>
      <c r="J341" s="9">
        <f t="shared" si="76"/>
        <v>0.75</v>
      </c>
    </row>
    <row r="342" ht="72">
      <c r="A342" s="24" t="s">
        <v>42</v>
      </c>
      <c r="B342" s="32" t="s">
        <v>222</v>
      </c>
      <c r="C342" s="33" t="s">
        <v>223</v>
      </c>
      <c r="D342" s="32" t="s">
        <v>224</v>
      </c>
      <c r="E342" s="33" t="s">
        <v>227</v>
      </c>
      <c r="F342" s="9" t="s">
        <v>70</v>
      </c>
      <c r="G342" s="9">
        <f t="shared" si="77"/>
        <v>0.5</v>
      </c>
      <c r="H342" s="9" t="s">
        <v>70</v>
      </c>
      <c r="I342" s="9">
        <f t="shared" si="78"/>
        <v>0.5</v>
      </c>
      <c r="J342" s="9">
        <f t="shared" si="76"/>
        <v>0.5</v>
      </c>
    </row>
    <row r="343" ht="72">
      <c r="A343" s="24" t="s">
        <v>42</v>
      </c>
      <c r="B343" s="32" t="s">
        <v>222</v>
      </c>
      <c r="C343" s="33" t="s">
        <v>228</v>
      </c>
      <c r="D343" s="32" t="s">
        <v>229</v>
      </c>
      <c r="E343" s="33" t="s">
        <v>230</v>
      </c>
      <c r="F343" s="9" t="s">
        <v>70</v>
      </c>
      <c r="G343" s="9">
        <f t="shared" si="77"/>
        <v>0.5</v>
      </c>
      <c r="H343" s="9" t="s">
        <v>70</v>
      </c>
      <c r="I343" s="9">
        <f t="shared" si="78"/>
        <v>0.5</v>
      </c>
      <c r="J343" s="9">
        <f t="shared" si="76"/>
        <v>0.5</v>
      </c>
    </row>
    <row r="344" ht="72">
      <c r="A344" s="24" t="s">
        <v>42</v>
      </c>
      <c r="B344" s="32" t="s">
        <v>222</v>
      </c>
      <c r="C344" s="33" t="s">
        <v>228</v>
      </c>
      <c r="D344" s="32" t="s">
        <v>229</v>
      </c>
      <c r="E344" s="33" t="s">
        <v>231</v>
      </c>
      <c r="F344" s="9" t="s">
        <v>70</v>
      </c>
      <c r="G344" s="9">
        <f t="shared" si="77"/>
        <v>0.5</v>
      </c>
      <c r="H344" s="9" t="s">
        <v>70</v>
      </c>
      <c r="I344" s="9">
        <f t="shared" si="78"/>
        <v>0.5</v>
      </c>
      <c r="J344" s="9">
        <f t="shared" si="76"/>
        <v>0.5</v>
      </c>
    </row>
    <row r="345" ht="72">
      <c r="A345" s="24" t="s">
        <v>42</v>
      </c>
      <c r="B345" s="32" t="s">
        <v>222</v>
      </c>
      <c r="C345" s="33" t="s">
        <v>232</v>
      </c>
      <c r="D345" s="32" t="s">
        <v>233</v>
      </c>
      <c r="E345" s="33" t="s">
        <v>234</v>
      </c>
      <c r="F345" s="9" t="s">
        <v>70</v>
      </c>
      <c r="G345" s="9">
        <f t="shared" si="77"/>
        <v>0.5</v>
      </c>
      <c r="H345" s="9" t="s">
        <v>70</v>
      </c>
      <c r="I345" s="9">
        <f t="shared" si="78"/>
        <v>0.5</v>
      </c>
      <c r="J345" s="9">
        <f t="shared" si="76"/>
        <v>0.5</v>
      </c>
    </row>
    <row r="346" ht="72">
      <c r="A346" s="24" t="s">
        <v>42</v>
      </c>
      <c r="B346" s="32" t="s">
        <v>222</v>
      </c>
      <c r="C346" s="33" t="s">
        <v>232</v>
      </c>
      <c r="D346" s="32" t="s">
        <v>233</v>
      </c>
      <c r="E346" s="33" t="s">
        <v>235</v>
      </c>
      <c r="F346" s="9" t="s">
        <v>70</v>
      </c>
      <c r="G346" s="9">
        <f t="shared" si="77"/>
        <v>0.5</v>
      </c>
      <c r="H346" s="9" t="s">
        <v>70</v>
      </c>
      <c r="I346" s="9">
        <f t="shared" si="78"/>
        <v>0.5</v>
      </c>
      <c r="J346" s="9">
        <f t="shared" si="76"/>
        <v>0.5</v>
      </c>
    </row>
    <row r="347" ht="72">
      <c r="A347" s="24" t="s">
        <v>42</v>
      </c>
      <c r="B347" s="32" t="s">
        <v>222</v>
      </c>
      <c r="C347" s="33" t="s">
        <v>232</v>
      </c>
      <c r="D347" s="32" t="s">
        <v>233</v>
      </c>
      <c r="E347" s="33" t="s">
        <v>236</v>
      </c>
      <c r="F347" s="9" t="s">
        <v>70</v>
      </c>
      <c r="G347" s="9">
        <f t="shared" si="77"/>
        <v>0.5</v>
      </c>
      <c r="H347" s="9" t="s">
        <v>70</v>
      </c>
      <c r="I347" s="9">
        <f t="shared" si="78"/>
        <v>0.5</v>
      </c>
      <c r="J347" s="9">
        <f t="shared" si="76"/>
        <v>0.5</v>
      </c>
    </row>
    <row r="348" ht="72">
      <c r="A348" s="24" t="s">
        <v>42</v>
      </c>
      <c r="B348" s="32" t="s">
        <v>222</v>
      </c>
      <c r="C348" s="33" t="s">
        <v>237</v>
      </c>
      <c r="D348" s="32" t="s">
        <v>238</v>
      </c>
      <c r="E348" s="33" t="s">
        <v>239</v>
      </c>
      <c r="F348" s="9" t="s">
        <v>70</v>
      </c>
      <c r="G348" s="9">
        <f t="shared" si="77"/>
        <v>0.5</v>
      </c>
      <c r="H348" s="9" t="s">
        <v>53</v>
      </c>
      <c r="I348" s="9">
        <f t="shared" si="78"/>
        <v>0</v>
      </c>
      <c r="J348" s="9">
        <f t="shared" si="76"/>
        <v>0.25</v>
      </c>
    </row>
    <row r="349" ht="54">
      <c r="A349" s="24" t="s">
        <v>42</v>
      </c>
      <c r="B349" s="32" t="s">
        <v>222</v>
      </c>
      <c r="C349" s="33" t="s">
        <v>237</v>
      </c>
      <c r="D349" s="32" t="s">
        <v>238</v>
      </c>
      <c r="E349" s="33" t="s">
        <v>240</v>
      </c>
      <c r="F349" s="9" t="s">
        <v>70</v>
      </c>
      <c r="G349" s="9">
        <f t="shared" si="77"/>
        <v>0.5</v>
      </c>
      <c r="H349" s="9" t="s">
        <v>22</v>
      </c>
      <c r="I349" s="9">
        <f t="shared" si="78"/>
        <v>1</v>
      </c>
      <c r="J349" s="9">
        <f t="shared" si="76"/>
        <v>0.75</v>
      </c>
    </row>
    <row r="350" ht="54">
      <c r="A350" s="24" t="s">
        <v>42</v>
      </c>
      <c r="B350" s="32" t="s">
        <v>222</v>
      </c>
      <c r="C350" s="33" t="s">
        <v>241</v>
      </c>
      <c r="D350" s="32" t="s">
        <v>242</v>
      </c>
      <c r="E350" s="33" t="s">
        <v>243</v>
      </c>
      <c r="F350" s="9" t="s">
        <v>70</v>
      </c>
      <c r="G350" s="9">
        <f t="shared" si="77"/>
        <v>0.5</v>
      </c>
      <c r="H350" s="9" t="s">
        <v>70</v>
      </c>
      <c r="I350" s="9">
        <f t="shared" si="78"/>
        <v>0.5</v>
      </c>
      <c r="J350" s="9">
        <f t="shared" si="76"/>
        <v>0.5</v>
      </c>
    </row>
    <row r="351" ht="54">
      <c r="A351" s="24" t="s">
        <v>42</v>
      </c>
      <c r="B351" s="32" t="s">
        <v>222</v>
      </c>
      <c r="C351" s="33" t="s">
        <v>241</v>
      </c>
      <c r="D351" s="32" t="s">
        <v>242</v>
      </c>
      <c r="E351" s="33" t="s">
        <v>244</v>
      </c>
      <c r="F351" s="9" t="s">
        <v>22</v>
      </c>
      <c r="G351" s="9">
        <f t="shared" si="77"/>
        <v>1</v>
      </c>
      <c r="H351" s="9" t="s">
        <v>22</v>
      </c>
      <c r="I351" s="9">
        <f t="shared" si="78"/>
        <v>1</v>
      </c>
      <c r="J351" s="9">
        <f t="shared" si="76"/>
        <v>1</v>
      </c>
    </row>
    <row r="352" ht="72">
      <c r="A352" s="24" t="s">
        <v>42</v>
      </c>
      <c r="B352" s="32" t="s">
        <v>222</v>
      </c>
      <c r="C352" s="33" t="s">
        <v>241</v>
      </c>
      <c r="D352" s="32" t="s">
        <v>242</v>
      </c>
      <c r="E352" s="33" t="s">
        <v>245</v>
      </c>
      <c r="F352" s="9" t="s">
        <v>70</v>
      </c>
      <c r="G352" s="9">
        <f t="shared" si="77"/>
        <v>0.5</v>
      </c>
      <c r="H352" s="9" t="s">
        <v>22</v>
      </c>
      <c r="I352" s="9">
        <f t="shared" si="78"/>
        <v>1</v>
      </c>
      <c r="J352" s="9">
        <f t="shared" si="76"/>
        <v>0.75</v>
      </c>
    </row>
    <row r="353" ht="72">
      <c r="A353" s="24" t="s">
        <v>42</v>
      </c>
      <c r="B353" s="32" t="s">
        <v>246</v>
      </c>
      <c r="C353" s="33" t="s">
        <v>247</v>
      </c>
      <c r="D353" s="32" t="s">
        <v>248</v>
      </c>
      <c r="E353" s="33" t="s">
        <v>249</v>
      </c>
      <c r="F353" s="9" t="s">
        <v>22</v>
      </c>
      <c r="G353" s="9">
        <f t="shared" si="77"/>
        <v>1</v>
      </c>
      <c r="H353" s="9" t="s">
        <v>22</v>
      </c>
      <c r="I353" s="9">
        <f t="shared" si="78"/>
        <v>1</v>
      </c>
      <c r="J353" s="9">
        <f t="shared" si="76"/>
        <v>1</v>
      </c>
    </row>
    <row r="354" ht="54">
      <c r="A354" s="24" t="s">
        <v>42</v>
      </c>
      <c r="B354" s="32" t="s">
        <v>246</v>
      </c>
      <c r="C354" s="33" t="s">
        <v>247</v>
      </c>
      <c r="D354" s="32" t="s">
        <v>248</v>
      </c>
      <c r="E354" s="33" t="s">
        <v>250</v>
      </c>
      <c r="F354" s="9" t="s">
        <v>70</v>
      </c>
      <c r="G354" s="9">
        <f t="shared" si="77"/>
        <v>0.5</v>
      </c>
      <c r="H354" s="9" t="s">
        <v>22</v>
      </c>
      <c r="I354" s="9">
        <f t="shared" si="78"/>
        <v>1</v>
      </c>
      <c r="J354" s="9">
        <f t="shared" si="76"/>
        <v>0.75</v>
      </c>
    </row>
    <row r="355" ht="72">
      <c r="A355" s="24" t="s">
        <v>42</v>
      </c>
      <c r="B355" s="32" t="s">
        <v>246</v>
      </c>
      <c r="C355" s="33" t="s">
        <v>251</v>
      </c>
      <c r="D355" s="32" t="s">
        <v>252</v>
      </c>
      <c r="E355" s="33" t="s">
        <v>253</v>
      </c>
      <c r="F355" s="9" t="s">
        <v>22</v>
      </c>
      <c r="G355" s="9">
        <f t="shared" si="77"/>
        <v>1</v>
      </c>
      <c r="H355" s="9" t="s">
        <v>70</v>
      </c>
      <c r="I355" s="9">
        <f t="shared" si="78"/>
        <v>0.5</v>
      </c>
      <c r="J355" s="9">
        <f t="shared" si="76"/>
        <v>0.75</v>
      </c>
    </row>
    <row r="356" ht="72">
      <c r="A356" s="24" t="s">
        <v>42</v>
      </c>
      <c r="B356" s="32" t="s">
        <v>246</v>
      </c>
      <c r="C356" s="33" t="s">
        <v>251</v>
      </c>
      <c r="D356" s="32" t="s">
        <v>252</v>
      </c>
      <c r="E356" s="33" t="s">
        <v>254</v>
      </c>
      <c r="F356" s="9" t="s">
        <v>22</v>
      </c>
      <c r="G356" s="9">
        <f t="shared" si="77"/>
        <v>1</v>
      </c>
      <c r="H356" s="9" t="s">
        <v>53</v>
      </c>
      <c r="I356" s="9">
        <f t="shared" si="78"/>
        <v>0</v>
      </c>
      <c r="J356" s="9">
        <f t="shared" si="76"/>
        <v>0.5</v>
      </c>
    </row>
    <row r="357" ht="54">
      <c r="A357" s="24" t="s">
        <v>42</v>
      </c>
      <c r="B357" s="32" t="s">
        <v>246</v>
      </c>
      <c r="C357" s="33" t="s">
        <v>251</v>
      </c>
      <c r="D357" s="32" t="s">
        <v>252</v>
      </c>
      <c r="E357" s="33" t="s">
        <v>255</v>
      </c>
      <c r="F357" s="9" t="s">
        <v>53</v>
      </c>
      <c r="G357" s="9">
        <f t="shared" si="77"/>
        <v>0</v>
      </c>
      <c r="H357" s="9" t="s">
        <v>70</v>
      </c>
      <c r="I357" s="9">
        <f t="shared" si="78"/>
        <v>0.5</v>
      </c>
      <c r="J357" s="9">
        <f t="shared" si="76"/>
        <v>0.25</v>
      </c>
    </row>
    <row r="358" ht="72">
      <c r="A358" s="24" t="s">
        <v>42</v>
      </c>
      <c r="B358" s="32" t="s">
        <v>246</v>
      </c>
      <c r="C358" s="33" t="s">
        <v>256</v>
      </c>
      <c r="D358" s="32" t="s">
        <v>257</v>
      </c>
      <c r="E358" s="33" t="s">
        <v>258</v>
      </c>
      <c r="F358" s="9" t="s">
        <v>22</v>
      </c>
      <c r="G358" s="9">
        <f t="shared" si="77"/>
        <v>1</v>
      </c>
      <c r="H358" s="9" t="s">
        <v>53</v>
      </c>
      <c r="I358" s="9">
        <f t="shared" si="78"/>
        <v>0</v>
      </c>
      <c r="J358" s="9">
        <f t="shared" si="76"/>
        <v>0.5</v>
      </c>
    </row>
    <row r="359" ht="72">
      <c r="A359" s="24" t="s">
        <v>42</v>
      </c>
      <c r="B359" s="32" t="s">
        <v>246</v>
      </c>
      <c r="C359" s="33" t="s">
        <v>256</v>
      </c>
      <c r="D359" s="32" t="s">
        <v>257</v>
      </c>
      <c r="E359" s="33" t="s">
        <v>259</v>
      </c>
      <c r="F359" s="9" t="s">
        <v>22</v>
      </c>
      <c r="G359" s="9">
        <f t="shared" si="77"/>
        <v>1</v>
      </c>
      <c r="H359" s="9" t="s">
        <v>70</v>
      </c>
      <c r="I359" s="9">
        <f t="shared" si="78"/>
        <v>0.5</v>
      </c>
      <c r="J359" s="9">
        <f t="shared" si="76"/>
        <v>0.75</v>
      </c>
    </row>
    <row r="360" ht="54">
      <c r="A360" s="24" t="s">
        <v>42</v>
      </c>
      <c r="B360" s="32" t="s">
        <v>260</v>
      </c>
      <c r="C360" s="33" t="s">
        <v>261</v>
      </c>
      <c r="D360" s="32" t="s">
        <v>262</v>
      </c>
      <c r="E360" s="33" t="s">
        <v>263</v>
      </c>
      <c r="F360" s="9" t="s">
        <v>53</v>
      </c>
      <c r="G360" s="9">
        <f t="shared" si="77"/>
        <v>0</v>
      </c>
      <c r="H360" s="9" t="s">
        <v>53</v>
      </c>
      <c r="I360" s="9">
        <f t="shared" si="78"/>
        <v>0</v>
      </c>
      <c r="J360" s="9">
        <f t="shared" si="76"/>
        <v>0</v>
      </c>
    </row>
    <row r="361" ht="54">
      <c r="A361" s="24" t="s">
        <v>42</v>
      </c>
      <c r="B361" s="32" t="s">
        <v>260</v>
      </c>
      <c r="C361" s="33" t="s">
        <v>261</v>
      </c>
      <c r="D361" s="32" t="s">
        <v>262</v>
      </c>
      <c r="E361" s="33" t="s">
        <v>264</v>
      </c>
      <c r="F361" s="9" t="s">
        <v>53</v>
      </c>
      <c r="G361" s="9">
        <f t="shared" si="77"/>
        <v>0</v>
      </c>
      <c r="H361" s="9" t="s">
        <v>70</v>
      </c>
      <c r="I361" s="9">
        <f t="shared" si="78"/>
        <v>0.5</v>
      </c>
      <c r="J361" s="9">
        <f t="shared" si="76"/>
        <v>0.25</v>
      </c>
    </row>
    <row r="362" ht="54">
      <c r="A362" s="24" t="s">
        <v>42</v>
      </c>
      <c r="B362" s="32" t="s">
        <v>260</v>
      </c>
      <c r="C362" s="33" t="s">
        <v>261</v>
      </c>
      <c r="D362" s="32" t="s">
        <v>262</v>
      </c>
      <c r="E362" s="33" t="s">
        <v>265</v>
      </c>
      <c r="F362" s="9" t="s">
        <v>53</v>
      </c>
      <c r="G362" s="9">
        <f t="shared" si="77"/>
        <v>0</v>
      </c>
      <c r="H362" s="9" t="s">
        <v>22</v>
      </c>
      <c r="I362" s="9">
        <f t="shared" si="78"/>
        <v>1</v>
      </c>
      <c r="J362" s="9">
        <f t="shared" si="76"/>
        <v>0.5</v>
      </c>
    </row>
    <row r="363" ht="72">
      <c r="A363" s="24" t="s">
        <v>42</v>
      </c>
      <c r="B363" s="32" t="s">
        <v>260</v>
      </c>
      <c r="C363" s="33" t="s">
        <v>266</v>
      </c>
      <c r="D363" s="32" t="s">
        <v>267</v>
      </c>
      <c r="E363" s="33" t="s">
        <v>268</v>
      </c>
      <c r="F363" s="9" t="s">
        <v>22</v>
      </c>
      <c r="G363" s="9">
        <f t="shared" si="77"/>
        <v>1</v>
      </c>
      <c r="H363" s="9" t="s">
        <v>22</v>
      </c>
      <c r="I363" s="9">
        <f t="shared" si="78"/>
        <v>1</v>
      </c>
      <c r="J363" s="9">
        <f t="shared" si="76"/>
        <v>1</v>
      </c>
    </row>
    <row r="364" ht="72">
      <c r="A364" s="24" t="s">
        <v>42</v>
      </c>
      <c r="B364" s="32" t="s">
        <v>260</v>
      </c>
      <c r="C364" s="33" t="s">
        <v>266</v>
      </c>
      <c r="D364" s="32" t="s">
        <v>267</v>
      </c>
      <c r="E364" s="33" t="s">
        <v>269</v>
      </c>
      <c r="F364" s="9" t="s">
        <v>53</v>
      </c>
      <c r="G364" s="9">
        <f t="shared" si="77"/>
        <v>0</v>
      </c>
      <c r="H364" s="9" t="s">
        <v>53</v>
      </c>
      <c r="I364" s="9">
        <f t="shared" si="78"/>
        <v>0</v>
      </c>
      <c r="J364" s="9">
        <f t="shared" si="76"/>
        <v>0</v>
      </c>
    </row>
    <row r="365" ht="72">
      <c r="A365" s="24" t="s">
        <v>42</v>
      </c>
      <c r="B365" s="32" t="s">
        <v>260</v>
      </c>
      <c r="C365" s="33" t="s">
        <v>266</v>
      </c>
      <c r="D365" s="32" t="s">
        <v>267</v>
      </c>
      <c r="E365" s="33" t="s">
        <v>270</v>
      </c>
      <c r="F365" s="9" t="s">
        <v>53</v>
      </c>
      <c r="G365" s="9">
        <f t="shared" si="77"/>
        <v>0</v>
      </c>
      <c r="H365" s="9" t="s">
        <v>70</v>
      </c>
      <c r="I365" s="9">
        <f t="shared" si="78"/>
        <v>0.5</v>
      </c>
      <c r="J365" s="9">
        <f t="shared" si="76"/>
        <v>0.25</v>
      </c>
    </row>
    <row r="366" ht="72">
      <c r="A366" s="24" t="s">
        <v>42</v>
      </c>
      <c r="B366" s="32" t="s">
        <v>260</v>
      </c>
      <c r="C366" s="33" t="s">
        <v>271</v>
      </c>
      <c r="D366" s="32" t="s">
        <v>272</v>
      </c>
      <c r="E366" s="33" t="s">
        <v>273</v>
      </c>
      <c r="F366" s="9" t="s">
        <v>53</v>
      </c>
      <c r="G366" s="9">
        <f t="shared" si="77"/>
        <v>0</v>
      </c>
      <c r="H366" s="9" t="s">
        <v>53</v>
      </c>
      <c r="I366" s="9">
        <f t="shared" si="78"/>
        <v>0</v>
      </c>
      <c r="J366" s="9">
        <f t="shared" si="76"/>
        <v>0</v>
      </c>
    </row>
    <row r="367" ht="72">
      <c r="A367" s="24" t="s">
        <v>42</v>
      </c>
      <c r="B367" s="32" t="s">
        <v>260</v>
      </c>
      <c r="C367" s="33" t="s">
        <v>271</v>
      </c>
      <c r="D367" s="32" t="s">
        <v>272</v>
      </c>
      <c r="E367" s="33" t="s">
        <v>274</v>
      </c>
      <c r="F367" s="9" t="s">
        <v>70</v>
      </c>
      <c r="G367" s="9">
        <f t="shared" si="77"/>
        <v>0.5</v>
      </c>
      <c r="H367" s="9" t="s">
        <v>70</v>
      </c>
      <c r="I367" s="9">
        <f t="shared" si="78"/>
        <v>0.5</v>
      </c>
      <c r="J367" s="9">
        <f t="shared" si="76"/>
        <v>0.5</v>
      </c>
    </row>
    <row r="368" ht="90">
      <c r="A368" s="24" t="s">
        <v>42</v>
      </c>
      <c r="B368" s="32" t="s">
        <v>260</v>
      </c>
      <c r="C368" s="33" t="s">
        <v>271</v>
      </c>
      <c r="D368" s="32" t="s">
        <v>272</v>
      </c>
      <c r="E368" s="33" t="s">
        <v>275</v>
      </c>
      <c r="F368" s="9" t="s">
        <v>70</v>
      </c>
      <c r="G368" s="9">
        <f t="shared" si="77"/>
        <v>0.5</v>
      </c>
      <c r="H368" s="9" t="s">
        <v>22</v>
      </c>
      <c r="I368" s="9">
        <f t="shared" si="78"/>
        <v>1</v>
      </c>
      <c r="J368" s="9">
        <f t="shared" si="76"/>
        <v>0.75</v>
      </c>
    </row>
    <row r="369" ht="54">
      <c r="A369" s="24" t="s">
        <v>42</v>
      </c>
      <c r="B369" s="32" t="s">
        <v>260</v>
      </c>
      <c r="C369" s="33" t="s">
        <v>276</v>
      </c>
      <c r="D369" s="32" t="s">
        <v>277</v>
      </c>
      <c r="E369" s="33" t="s">
        <v>278</v>
      </c>
      <c r="F369" s="9" t="s">
        <v>53</v>
      </c>
      <c r="G369" s="9">
        <f t="shared" si="77"/>
        <v>0</v>
      </c>
      <c r="H369" s="9" t="s">
        <v>22</v>
      </c>
      <c r="I369" s="9">
        <f t="shared" si="78"/>
        <v>1</v>
      </c>
      <c r="J369" s="9">
        <f t="shared" si="76"/>
        <v>0.5</v>
      </c>
    </row>
    <row r="370" ht="54">
      <c r="A370" s="24" t="s">
        <v>42</v>
      </c>
      <c r="B370" s="32" t="s">
        <v>260</v>
      </c>
      <c r="C370" s="33" t="s">
        <v>276</v>
      </c>
      <c r="D370" s="32" t="s">
        <v>277</v>
      </c>
      <c r="E370" s="33" t="s">
        <v>279</v>
      </c>
      <c r="F370" s="9" t="s">
        <v>53</v>
      </c>
      <c r="G370" s="9">
        <f t="shared" si="77"/>
        <v>0</v>
      </c>
      <c r="H370" s="9" t="s">
        <v>70</v>
      </c>
      <c r="I370" s="9">
        <f t="shared" si="78"/>
        <v>0.5</v>
      </c>
      <c r="J370" s="9">
        <f t="shared" si="76"/>
        <v>0.25</v>
      </c>
    </row>
    <row r="371" ht="54">
      <c r="A371" s="24" t="s">
        <v>42</v>
      </c>
      <c r="B371" s="32" t="s">
        <v>260</v>
      </c>
      <c r="C371" s="33" t="s">
        <v>276</v>
      </c>
      <c r="D371" s="32" t="s">
        <v>277</v>
      </c>
      <c r="E371" s="33" t="s">
        <v>280</v>
      </c>
      <c r="F371" s="9" t="s">
        <v>53</v>
      </c>
      <c r="G371" s="9">
        <f t="shared" si="77"/>
        <v>0</v>
      </c>
      <c r="H371" s="9" t="s">
        <v>53</v>
      </c>
      <c r="I371" s="9">
        <f t="shared" si="78"/>
        <v>0</v>
      </c>
      <c r="J371" s="9">
        <f t="shared" si="76"/>
        <v>0</v>
      </c>
    </row>
    <row r="372" ht="90">
      <c r="A372" s="24" t="s">
        <v>42</v>
      </c>
      <c r="B372" s="32" t="s">
        <v>260</v>
      </c>
      <c r="C372" s="33" t="s">
        <v>281</v>
      </c>
      <c r="D372" s="32" t="s">
        <v>282</v>
      </c>
      <c r="E372" s="33" t="s">
        <v>283</v>
      </c>
      <c r="F372" s="9" t="s">
        <v>53</v>
      </c>
      <c r="G372" s="9">
        <f t="shared" si="77"/>
        <v>0</v>
      </c>
      <c r="H372" s="9" t="s">
        <v>70</v>
      </c>
      <c r="I372" s="9">
        <f t="shared" si="78"/>
        <v>0.5</v>
      </c>
      <c r="J372" s="9">
        <f t="shared" si="76"/>
        <v>0.25</v>
      </c>
    </row>
    <row r="373" ht="90">
      <c r="A373" s="24" t="s">
        <v>42</v>
      </c>
      <c r="B373" s="32" t="s">
        <v>260</v>
      </c>
      <c r="C373" s="33" t="s">
        <v>281</v>
      </c>
      <c r="D373" s="32" t="s">
        <v>282</v>
      </c>
      <c r="E373" s="33" t="s">
        <v>284</v>
      </c>
      <c r="F373" s="9" t="s">
        <v>53</v>
      </c>
      <c r="G373" s="9">
        <f t="shared" si="77"/>
        <v>0</v>
      </c>
      <c r="H373" s="9" t="s">
        <v>22</v>
      </c>
      <c r="I373" s="9">
        <f t="shared" si="78"/>
        <v>1</v>
      </c>
      <c r="J373" s="9">
        <f t="shared" si="76"/>
        <v>0.5</v>
      </c>
    </row>
    <row r="374" ht="36">
      <c r="A374" s="24" t="s">
        <v>42</v>
      </c>
      <c r="B374" s="32" t="s">
        <v>285</v>
      </c>
      <c r="C374" s="33" t="s">
        <v>286</v>
      </c>
      <c r="D374" s="32" t="s">
        <v>287</v>
      </c>
      <c r="E374" s="33" t="s">
        <v>288</v>
      </c>
      <c r="F374" s="9" t="s">
        <v>22</v>
      </c>
      <c r="G374" s="9">
        <f t="shared" si="77"/>
        <v>1</v>
      </c>
      <c r="H374" s="9" t="s">
        <v>53</v>
      </c>
      <c r="I374" s="9">
        <f t="shared" si="78"/>
        <v>0</v>
      </c>
      <c r="J374" s="9">
        <f t="shared" si="76"/>
        <v>0.5</v>
      </c>
    </row>
    <row r="375" ht="54">
      <c r="A375" s="24" t="s">
        <v>42</v>
      </c>
      <c r="B375" s="32" t="s">
        <v>285</v>
      </c>
      <c r="C375" s="33" t="s">
        <v>286</v>
      </c>
      <c r="D375" s="32" t="s">
        <v>287</v>
      </c>
      <c r="E375" s="33" t="s">
        <v>289</v>
      </c>
      <c r="F375" s="9" t="s">
        <v>53</v>
      </c>
      <c r="G375" s="9">
        <f t="shared" si="77"/>
        <v>0</v>
      </c>
      <c r="H375" s="9" t="s">
        <v>70</v>
      </c>
      <c r="I375" s="9">
        <f t="shared" si="78"/>
        <v>0.5</v>
      </c>
      <c r="J375" s="9">
        <f t="shared" si="76"/>
        <v>0.25</v>
      </c>
    </row>
    <row r="376" ht="90">
      <c r="A376" s="24" t="s">
        <v>42</v>
      </c>
      <c r="B376" s="32" t="s">
        <v>285</v>
      </c>
      <c r="C376" s="33" t="s">
        <v>290</v>
      </c>
      <c r="D376" s="32" t="s">
        <v>291</v>
      </c>
      <c r="E376" s="33" t="s">
        <v>292</v>
      </c>
      <c r="F376" s="9" t="s">
        <v>53</v>
      </c>
      <c r="G376" s="9">
        <f t="shared" si="77"/>
        <v>0</v>
      </c>
      <c r="H376" s="9" t="s">
        <v>53</v>
      </c>
      <c r="I376" s="9">
        <f t="shared" si="78"/>
        <v>0</v>
      </c>
      <c r="J376" s="9">
        <f t="shared" si="76"/>
        <v>0</v>
      </c>
    </row>
    <row r="377" ht="36">
      <c r="A377" s="24" t="s">
        <v>42</v>
      </c>
      <c r="B377" s="32" t="s">
        <v>285</v>
      </c>
      <c r="C377" s="33" t="s">
        <v>290</v>
      </c>
      <c r="D377" s="32" t="s">
        <v>291</v>
      </c>
      <c r="E377" s="33" t="s">
        <v>293</v>
      </c>
      <c r="F377" s="9" t="s">
        <v>53</v>
      </c>
      <c r="G377" s="9">
        <f t="shared" si="77"/>
        <v>0</v>
      </c>
      <c r="H377" s="9" t="s">
        <v>53</v>
      </c>
      <c r="I377" s="9">
        <f t="shared" si="78"/>
        <v>0</v>
      </c>
      <c r="J377" s="9">
        <f t="shared" si="76"/>
        <v>0</v>
      </c>
    </row>
    <row r="378" ht="72">
      <c r="A378" s="24" t="s">
        <v>42</v>
      </c>
      <c r="B378" s="32" t="s">
        <v>285</v>
      </c>
      <c r="C378" s="33" t="s">
        <v>290</v>
      </c>
      <c r="D378" s="32" t="s">
        <v>291</v>
      </c>
      <c r="E378" s="33" t="s">
        <v>294</v>
      </c>
      <c r="F378" s="9" t="s">
        <v>22</v>
      </c>
      <c r="G378" s="9">
        <f t="shared" si="77"/>
        <v>1</v>
      </c>
      <c r="H378" s="9" t="s">
        <v>53</v>
      </c>
      <c r="I378" s="9">
        <f t="shared" si="78"/>
        <v>0</v>
      </c>
      <c r="J378" s="9">
        <f t="shared" si="76"/>
        <v>0.5</v>
      </c>
    </row>
    <row r="379" ht="54">
      <c r="A379" s="24" t="s">
        <v>42</v>
      </c>
      <c r="B379" s="32" t="s">
        <v>285</v>
      </c>
      <c r="C379" s="33" t="s">
        <v>295</v>
      </c>
      <c r="D379" s="32" t="s">
        <v>296</v>
      </c>
      <c r="E379" s="33" t="s">
        <v>297</v>
      </c>
      <c r="F379" s="9" t="s">
        <v>22</v>
      </c>
      <c r="G379" s="9">
        <f t="shared" si="77"/>
        <v>1</v>
      </c>
      <c r="H379" s="9" t="s">
        <v>53</v>
      </c>
      <c r="I379" s="9">
        <f t="shared" si="78"/>
        <v>0</v>
      </c>
      <c r="J379" s="9">
        <f t="shared" si="76"/>
        <v>0.5</v>
      </c>
    </row>
    <row r="380" ht="72">
      <c r="A380" s="24" t="s">
        <v>42</v>
      </c>
      <c r="B380" s="32" t="s">
        <v>285</v>
      </c>
      <c r="C380" s="33" t="s">
        <v>295</v>
      </c>
      <c r="D380" s="32" t="s">
        <v>296</v>
      </c>
      <c r="E380" s="33" t="s">
        <v>298</v>
      </c>
      <c r="F380" s="9" t="s">
        <v>70</v>
      </c>
      <c r="G380" s="9">
        <f t="shared" si="77"/>
        <v>0.5</v>
      </c>
      <c r="H380" s="9" t="s">
        <v>53</v>
      </c>
      <c r="I380" s="9">
        <f t="shared" si="78"/>
        <v>0</v>
      </c>
      <c r="J380" s="9">
        <f t="shared" si="76"/>
        <v>0.25</v>
      </c>
    </row>
    <row r="381" ht="54">
      <c r="A381" s="24" t="s">
        <v>42</v>
      </c>
      <c r="B381" s="32" t="s">
        <v>285</v>
      </c>
      <c r="C381" s="33" t="s">
        <v>295</v>
      </c>
      <c r="D381" s="32" t="s">
        <v>296</v>
      </c>
      <c r="E381" s="33" t="s">
        <v>299</v>
      </c>
      <c r="F381" s="9" t="s">
        <v>70</v>
      </c>
      <c r="G381" s="9">
        <f t="shared" si="77"/>
        <v>0.5</v>
      </c>
      <c r="H381" s="9" t="s">
        <v>53</v>
      </c>
      <c r="I381" s="9">
        <f t="shared" si="78"/>
        <v>0</v>
      </c>
      <c r="J381" s="9">
        <f t="shared" si="76"/>
        <v>0.25</v>
      </c>
    </row>
    <row r="382" ht="36">
      <c r="A382" s="24" t="s">
        <v>42</v>
      </c>
      <c r="B382" s="32" t="s">
        <v>285</v>
      </c>
      <c r="C382" s="33" t="s">
        <v>300</v>
      </c>
      <c r="D382" s="32" t="s">
        <v>301</v>
      </c>
      <c r="E382" s="33" t="s">
        <v>302</v>
      </c>
      <c r="F382" s="9" t="s">
        <v>22</v>
      </c>
      <c r="G382" s="9">
        <f t="shared" si="77"/>
        <v>1</v>
      </c>
      <c r="H382" s="9" t="s">
        <v>53</v>
      </c>
      <c r="I382" s="9">
        <f t="shared" si="78"/>
        <v>0</v>
      </c>
      <c r="J382" s="9">
        <f t="shared" si="76"/>
        <v>0.5</v>
      </c>
    </row>
    <row r="383" ht="36">
      <c r="A383" s="24" t="s">
        <v>42</v>
      </c>
      <c r="B383" s="32" t="s">
        <v>285</v>
      </c>
      <c r="C383" s="33" t="s">
        <v>300</v>
      </c>
      <c r="D383" s="32" t="s">
        <v>301</v>
      </c>
      <c r="E383" s="33" t="s">
        <v>303</v>
      </c>
      <c r="F383" s="9" t="s">
        <v>22</v>
      </c>
      <c r="G383" s="9">
        <f t="shared" si="77"/>
        <v>1</v>
      </c>
      <c r="H383" s="9" t="s">
        <v>70</v>
      </c>
      <c r="I383" s="9">
        <f t="shared" si="78"/>
        <v>0.5</v>
      </c>
      <c r="J383" s="9">
        <f t="shared" si="76"/>
        <v>0.75</v>
      </c>
    </row>
    <row r="384" ht="36">
      <c r="A384" s="24" t="s">
        <v>42</v>
      </c>
      <c r="B384" s="32" t="s">
        <v>285</v>
      </c>
      <c r="C384" s="33" t="s">
        <v>300</v>
      </c>
      <c r="D384" s="32" t="s">
        <v>301</v>
      </c>
      <c r="E384" s="33" t="s">
        <v>304</v>
      </c>
      <c r="F384" s="9" t="s">
        <v>70</v>
      </c>
      <c r="G384" s="9">
        <f t="shared" si="77"/>
        <v>0.5</v>
      </c>
      <c r="H384" s="9" t="s">
        <v>53</v>
      </c>
      <c r="I384" s="9">
        <f t="shared" si="78"/>
        <v>0</v>
      </c>
      <c r="J384" s="9">
        <f t="shared" si="76"/>
        <v>0.25</v>
      </c>
    </row>
    <row r="385" ht="72">
      <c r="A385" s="24" t="s">
        <v>42</v>
      </c>
      <c r="B385" s="32" t="s">
        <v>305</v>
      </c>
      <c r="C385" s="33" t="s">
        <v>306</v>
      </c>
      <c r="D385" s="32" t="s">
        <v>307</v>
      </c>
      <c r="E385" s="33" t="s">
        <v>308</v>
      </c>
      <c r="F385" s="9" t="s">
        <v>53</v>
      </c>
      <c r="G385" s="9">
        <f t="shared" si="77"/>
        <v>0</v>
      </c>
      <c r="H385" s="9" t="s">
        <v>70</v>
      </c>
      <c r="I385" s="9">
        <f t="shared" si="78"/>
        <v>0.5</v>
      </c>
      <c r="J385" s="9">
        <f t="shared" si="76"/>
        <v>0.25</v>
      </c>
    </row>
    <row r="386" ht="72">
      <c r="A386" s="24" t="s">
        <v>42</v>
      </c>
      <c r="B386" s="32" t="s">
        <v>305</v>
      </c>
      <c r="C386" s="33" t="s">
        <v>306</v>
      </c>
      <c r="D386" s="32" t="s">
        <v>307</v>
      </c>
      <c r="E386" s="33" t="s">
        <v>309</v>
      </c>
      <c r="F386" s="9" t="s">
        <v>70</v>
      </c>
      <c r="G386" s="9">
        <f t="shared" si="77"/>
        <v>0.5</v>
      </c>
      <c r="H386" s="9" t="s">
        <v>22</v>
      </c>
      <c r="I386" s="9">
        <f t="shared" si="78"/>
        <v>1</v>
      </c>
      <c r="J386" s="9">
        <f t="shared" si="76"/>
        <v>0.75</v>
      </c>
    </row>
    <row r="387" ht="72">
      <c r="A387" s="24" t="s">
        <v>42</v>
      </c>
      <c r="B387" s="32" t="s">
        <v>305</v>
      </c>
      <c r="C387" s="33" t="s">
        <v>306</v>
      </c>
      <c r="D387" s="32" t="s">
        <v>307</v>
      </c>
      <c r="E387" s="33" t="s">
        <v>310</v>
      </c>
      <c r="F387" s="9" t="s">
        <v>53</v>
      </c>
      <c r="G387" s="9">
        <f t="shared" si="77"/>
        <v>0</v>
      </c>
      <c r="H387" s="9" t="s">
        <v>22</v>
      </c>
      <c r="I387" s="9">
        <f t="shared" si="78"/>
        <v>1</v>
      </c>
      <c r="J387" s="9">
        <f t="shared" si="76"/>
        <v>0.5</v>
      </c>
    </row>
    <row r="388" ht="36">
      <c r="A388" s="24" t="s">
        <v>42</v>
      </c>
      <c r="B388" s="32" t="s">
        <v>305</v>
      </c>
      <c r="C388" s="33" t="s">
        <v>311</v>
      </c>
      <c r="D388" s="32" t="s">
        <v>312</v>
      </c>
      <c r="E388" s="33" t="s">
        <v>313</v>
      </c>
      <c r="F388" s="9" t="s">
        <v>22</v>
      </c>
      <c r="G388" s="9">
        <f t="shared" si="77"/>
        <v>1</v>
      </c>
      <c r="H388" s="9" t="s">
        <v>22</v>
      </c>
      <c r="I388" s="9">
        <f t="shared" si="78"/>
        <v>1</v>
      </c>
      <c r="J388" s="9">
        <f t="shared" ref="J388:J395" si="79">AVERAGE(G388,I388)</f>
        <v>1</v>
      </c>
    </row>
    <row r="389" ht="36">
      <c r="A389" s="24" t="s">
        <v>42</v>
      </c>
      <c r="B389" s="32" t="s">
        <v>305</v>
      </c>
      <c r="C389" s="33" t="s">
        <v>311</v>
      </c>
      <c r="D389" s="32" t="s">
        <v>312</v>
      </c>
      <c r="E389" s="33" t="s">
        <v>314</v>
      </c>
      <c r="F389" s="9" t="s">
        <v>22</v>
      </c>
      <c r="G389" s="9">
        <f t="shared" ref="G389:G395" si="80">IF(F389="Cumple",1,IF(F389="Cumple Parcialmente",0.5,IF(F389="No Cumple",0,"")))</f>
        <v>1</v>
      </c>
      <c r="H389" s="9" t="s">
        <v>53</v>
      </c>
      <c r="I389" s="9">
        <f t="shared" ref="I389:I395" si="81">IF(H389="Cumple",1,IF(H389="Cumple Parcialmente",0.5,IF(H389="No Cumple",0,"")))</f>
        <v>0</v>
      </c>
      <c r="J389" s="9">
        <f t="shared" si="79"/>
        <v>0.5</v>
      </c>
    </row>
    <row r="390" ht="36">
      <c r="A390" s="24" t="s">
        <v>42</v>
      </c>
      <c r="B390" s="32" t="s">
        <v>305</v>
      </c>
      <c r="C390" s="33" t="s">
        <v>311</v>
      </c>
      <c r="D390" s="32" t="s">
        <v>312</v>
      </c>
      <c r="E390" s="33" t="s">
        <v>315</v>
      </c>
      <c r="F390" s="9" t="s">
        <v>22</v>
      </c>
      <c r="G390" s="9">
        <f t="shared" si="80"/>
        <v>1</v>
      </c>
      <c r="H390" s="9" t="s">
        <v>53</v>
      </c>
      <c r="I390" s="9">
        <f t="shared" si="81"/>
        <v>0</v>
      </c>
      <c r="J390" s="9">
        <f t="shared" si="79"/>
        <v>0.5</v>
      </c>
    </row>
    <row r="391" ht="36">
      <c r="A391" s="24" t="s">
        <v>42</v>
      </c>
      <c r="B391" s="32" t="s">
        <v>305</v>
      </c>
      <c r="C391" s="33" t="s">
        <v>316</v>
      </c>
      <c r="D391" s="32" t="s">
        <v>317</v>
      </c>
      <c r="E391" s="33" t="s">
        <v>318</v>
      </c>
      <c r="F391" s="9" t="s">
        <v>53</v>
      </c>
      <c r="G391" s="9">
        <f t="shared" si="80"/>
        <v>0</v>
      </c>
      <c r="H391" s="9" t="s">
        <v>53</v>
      </c>
      <c r="I391" s="9">
        <f t="shared" si="81"/>
        <v>0</v>
      </c>
      <c r="J391" s="9">
        <f t="shared" si="79"/>
        <v>0</v>
      </c>
    </row>
    <row r="392" ht="36">
      <c r="A392" s="24" t="s">
        <v>42</v>
      </c>
      <c r="B392" s="32" t="s">
        <v>305</v>
      </c>
      <c r="C392" s="33" t="s">
        <v>316</v>
      </c>
      <c r="D392" s="32" t="s">
        <v>317</v>
      </c>
      <c r="E392" s="33" t="s">
        <v>319</v>
      </c>
      <c r="F392" s="9" t="s">
        <v>22</v>
      </c>
      <c r="G392" s="9">
        <f t="shared" si="80"/>
        <v>1</v>
      </c>
      <c r="H392" s="9" t="s">
        <v>53</v>
      </c>
      <c r="I392" s="9">
        <f t="shared" si="81"/>
        <v>0</v>
      </c>
      <c r="J392" s="9">
        <f t="shared" si="79"/>
        <v>0.5</v>
      </c>
    </row>
    <row r="393" ht="36">
      <c r="A393" s="24" t="s">
        <v>42</v>
      </c>
      <c r="B393" s="32" t="s">
        <v>305</v>
      </c>
      <c r="C393" s="33" t="s">
        <v>320</v>
      </c>
      <c r="D393" s="32" t="s">
        <v>321</v>
      </c>
      <c r="E393" s="33" t="s">
        <v>322</v>
      </c>
      <c r="F393" s="9" t="s">
        <v>22</v>
      </c>
      <c r="G393" s="9">
        <f t="shared" si="80"/>
        <v>1</v>
      </c>
      <c r="H393" s="9" t="s">
        <v>53</v>
      </c>
      <c r="I393" s="9">
        <f t="shared" si="81"/>
        <v>0</v>
      </c>
      <c r="J393" s="9">
        <f t="shared" si="79"/>
        <v>0.5</v>
      </c>
    </row>
    <row r="394" ht="36">
      <c r="A394" s="24" t="s">
        <v>42</v>
      </c>
      <c r="B394" s="32" t="s">
        <v>305</v>
      </c>
      <c r="C394" s="33" t="s">
        <v>320</v>
      </c>
      <c r="D394" s="32" t="s">
        <v>321</v>
      </c>
      <c r="E394" s="33" t="s">
        <v>323</v>
      </c>
      <c r="F394" s="9" t="s">
        <v>22</v>
      </c>
      <c r="G394" s="9">
        <f t="shared" si="80"/>
        <v>1</v>
      </c>
      <c r="H394" s="9" t="s">
        <v>53</v>
      </c>
      <c r="I394" s="9">
        <f t="shared" si="81"/>
        <v>0</v>
      </c>
      <c r="J394" s="9">
        <f t="shared" si="79"/>
        <v>0.5</v>
      </c>
    </row>
    <row r="395" ht="36">
      <c r="A395" s="24" t="s">
        <v>42</v>
      </c>
      <c r="B395" s="25" t="s">
        <v>305</v>
      </c>
      <c r="C395" s="26" t="s">
        <v>320</v>
      </c>
      <c r="D395" s="25" t="s">
        <v>321</v>
      </c>
      <c r="E395" s="26" t="s">
        <v>324</v>
      </c>
      <c r="F395" s="9" t="s">
        <v>22</v>
      </c>
      <c r="G395" s="9">
        <f t="shared" si="80"/>
        <v>1</v>
      </c>
      <c r="H395" s="9" t="s">
        <v>70</v>
      </c>
      <c r="I395" s="9">
        <f t="shared" si="81"/>
        <v>0.5</v>
      </c>
      <c r="J395" s="9">
        <f t="shared" si="79"/>
        <v>0.75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D1" zoomScale="85" workbookViewId="0">
      <selection activeCell="H108" activeCellId="0" sqref="H108"/>
    </sheetView>
  </sheetViews>
  <sheetFormatPr baseColWidth="10" defaultRowHeight="15"/>
  <cols>
    <col customWidth="1" min="2" max="2" width="44.42578125"/>
    <col customWidth="1" min="3" max="3" width="29.140625"/>
    <col customWidth="1" min="4" max="4" width="38.7109375"/>
    <col customWidth="1" min="5" max="5" width="85"/>
    <col customWidth="1" min="6" max="6" width="19.7109375"/>
    <col customWidth="1" min="7" max="7" width="17.28515625"/>
    <col customWidth="1" min="8" max="8" width="22.7109375"/>
    <col customWidth="1" min="9" max="9" width="18.85546875"/>
    <col customWidth="1" min="10" max="10" width="20"/>
    <col customWidth="1" min="13" max="13" width="15.5703125"/>
    <col customWidth="1" min="14" max="14" width="14.85546875"/>
    <col customWidth="1" min="15" max="15" width="14.5703125"/>
    <col customWidth="1" min="16" max="16" width="13.28515625"/>
  </cols>
  <sheetData>
    <row r="2" ht="36">
      <c r="A2" s="36" t="s">
        <v>0</v>
      </c>
      <c r="B2" s="37" t="s">
        <v>1</v>
      </c>
      <c r="C2" s="37" t="s">
        <v>2</v>
      </c>
      <c r="D2" s="37" t="s">
        <v>3</v>
      </c>
      <c r="E2" s="37" t="s">
        <v>4</v>
      </c>
      <c r="F2" s="37" t="s">
        <v>5</v>
      </c>
      <c r="G2" s="37" t="s">
        <v>325</v>
      </c>
      <c r="H2" s="37" t="s">
        <v>142</v>
      </c>
      <c r="I2" s="37" t="s">
        <v>326</v>
      </c>
      <c r="J2" s="37" t="s">
        <v>9</v>
      </c>
      <c r="L2" s="4" t="s">
        <v>10</v>
      </c>
      <c r="M2" s="4" t="s">
        <v>11</v>
      </c>
      <c r="N2" s="4" t="s">
        <v>12</v>
      </c>
      <c r="O2" s="4" t="s">
        <v>13</v>
      </c>
      <c r="P2" s="4" t="s">
        <v>14</v>
      </c>
      <c r="Q2" s="4" t="s">
        <v>15</v>
      </c>
      <c r="R2" s="4" t="s">
        <v>16</v>
      </c>
    </row>
    <row r="3" ht="60.75" customHeight="1">
      <c r="A3" s="38" t="s">
        <v>17</v>
      </c>
      <c r="B3" s="39" t="s">
        <v>327</v>
      </c>
      <c r="C3" s="40" t="s">
        <v>328</v>
      </c>
      <c r="D3" s="39" t="s">
        <v>329</v>
      </c>
      <c r="E3" s="40" t="s">
        <v>330</v>
      </c>
      <c r="F3" s="34" t="s">
        <v>22</v>
      </c>
      <c r="G3" s="35">
        <f t="shared" ref="G3:G66" si="82">IF(F3="Cumple",1,IF(F3="Cumple Parcialmente",0.5,IF(F3="No Cumple",0,"")))</f>
        <v>1</v>
      </c>
      <c r="H3" s="9" t="s">
        <v>140</v>
      </c>
      <c r="I3" s="9">
        <f t="shared" ref="I3:I66" si="83">IF(H3="Cumple",1,IF(H3="Cumple Parcialmente",0.5,IF(H3="No Cumple",0,"")))</f>
        <v>0</v>
      </c>
      <c r="J3" s="9">
        <f t="shared" ref="J3:J34" si="84">AVERAGE(G3,I3)</f>
        <v>0.5</v>
      </c>
      <c r="L3" s="10" t="s">
        <v>17</v>
      </c>
      <c r="M3" s="10">
        <f>SUM(G3:G24)</f>
        <v>20</v>
      </c>
      <c r="N3" s="10">
        <f t="shared" ref="N3:N9" si="85">ROUND((M3/22)*100,2)</f>
        <v>90.909999999999997</v>
      </c>
      <c r="O3" s="10">
        <f>SUM(I3:I24)</f>
        <v>11.5</v>
      </c>
      <c r="P3" s="10">
        <f t="shared" ref="P3:P9" si="86">ROUND((O3/22)*100,2)</f>
        <v>52.270000000000003</v>
      </c>
      <c r="Q3" s="11">
        <f t="shared" ref="Q3:Q9" si="87">AVERAGE(M3,O3)</f>
        <v>15.75</v>
      </c>
      <c r="R3" s="12">
        <f t="shared" ref="R3:R9" si="88">ROUND((Q3/22)*100,2)</f>
        <v>71.590000000000003</v>
      </c>
    </row>
    <row r="4" ht="54">
      <c r="A4" s="38" t="s">
        <v>17</v>
      </c>
      <c r="B4" s="39" t="s">
        <v>327</v>
      </c>
      <c r="C4" s="40" t="s">
        <v>328</v>
      </c>
      <c r="D4" s="39" t="s">
        <v>329</v>
      </c>
      <c r="E4" s="40" t="s">
        <v>331</v>
      </c>
      <c r="F4" s="34" t="s">
        <v>22</v>
      </c>
      <c r="G4" s="35">
        <f t="shared" si="82"/>
        <v>1</v>
      </c>
      <c r="H4" s="9" t="s">
        <v>70</v>
      </c>
      <c r="I4" s="9">
        <f t="shared" si="83"/>
        <v>0.5</v>
      </c>
      <c r="J4" s="9">
        <f t="shared" si="84"/>
        <v>0.75</v>
      </c>
      <c r="L4" s="10" t="s">
        <v>25</v>
      </c>
      <c r="M4" s="10">
        <f>SUM(G25:G46)</f>
        <v>21</v>
      </c>
      <c r="N4" s="10">
        <f t="shared" si="85"/>
        <v>95.450000000000003</v>
      </c>
      <c r="O4" s="10">
        <f>SUM(I25:I46)</f>
        <v>13.5</v>
      </c>
      <c r="P4" s="10">
        <f t="shared" si="86"/>
        <v>61.359999999999999</v>
      </c>
      <c r="Q4" s="11">
        <f t="shared" si="87"/>
        <v>17.25</v>
      </c>
      <c r="R4" s="12">
        <f t="shared" si="88"/>
        <v>78.409999999999997</v>
      </c>
    </row>
    <row r="5" ht="54">
      <c r="A5" s="38" t="s">
        <v>17</v>
      </c>
      <c r="B5" s="39" t="s">
        <v>327</v>
      </c>
      <c r="C5" s="40" t="s">
        <v>328</v>
      </c>
      <c r="D5" s="39" t="s">
        <v>329</v>
      </c>
      <c r="E5" s="40" t="s">
        <v>332</v>
      </c>
      <c r="F5" s="34" t="s">
        <v>22</v>
      </c>
      <c r="G5" s="35">
        <f t="shared" si="82"/>
        <v>1</v>
      </c>
      <c r="H5" s="9" t="s">
        <v>22</v>
      </c>
      <c r="I5" s="9">
        <f t="shared" si="83"/>
        <v>1</v>
      </c>
      <c r="J5" s="9">
        <f t="shared" si="84"/>
        <v>1</v>
      </c>
      <c r="L5" s="10" t="s">
        <v>29</v>
      </c>
      <c r="M5" s="10">
        <f>SUM(G47:G68)</f>
        <v>13</v>
      </c>
      <c r="N5" s="10">
        <f t="shared" si="85"/>
        <v>59.090000000000003</v>
      </c>
      <c r="O5" s="10">
        <f>SUM(I47:I68)</f>
        <v>12.5</v>
      </c>
      <c r="P5" s="10">
        <f t="shared" si="86"/>
        <v>56.82</v>
      </c>
      <c r="Q5" s="11">
        <f t="shared" si="87"/>
        <v>12.75</v>
      </c>
      <c r="R5" s="12">
        <f t="shared" si="88"/>
        <v>57.950000000000003</v>
      </c>
    </row>
    <row r="6" ht="54">
      <c r="A6" s="38" t="s">
        <v>17</v>
      </c>
      <c r="B6" s="39" t="s">
        <v>327</v>
      </c>
      <c r="C6" s="40" t="s">
        <v>328</v>
      </c>
      <c r="D6" s="39" t="s">
        <v>329</v>
      </c>
      <c r="E6" s="40" t="s">
        <v>333</v>
      </c>
      <c r="F6" s="34" t="s">
        <v>22</v>
      </c>
      <c r="G6" s="35">
        <f t="shared" si="82"/>
        <v>1</v>
      </c>
      <c r="H6" s="9" t="s">
        <v>22</v>
      </c>
      <c r="I6" s="9">
        <f t="shared" si="83"/>
        <v>1</v>
      </c>
      <c r="J6" s="9">
        <f t="shared" si="84"/>
        <v>1</v>
      </c>
      <c r="L6" s="10" t="s">
        <v>32</v>
      </c>
      <c r="M6" s="10">
        <f>SUM(G69:G90)</f>
        <v>12.5</v>
      </c>
      <c r="N6" s="10">
        <f t="shared" si="85"/>
        <v>56.82</v>
      </c>
      <c r="O6" s="10">
        <f>SUM(I69:I90)</f>
        <v>12</v>
      </c>
      <c r="P6" s="10">
        <f t="shared" si="86"/>
        <v>54.549999999999997</v>
      </c>
      <c r="Q6" s="11">
        <f t="shared" si="87"/>
        <v>12.25</v>
      </c>
      <c r="R6" s="12">
        <f t="shared" si="88"/>
        <v>55.68</v>
      </c>
    </row>
    <row r="7" ht="54">
      <c r="A7" s="38" t="s">
        <v>17</v>
      </c>
      <c r="B7" s="39" t="s">
        <v>327</v>
      </c>
      <c r="C7" s="40" t="s">
        <v>334</v>
      </c>
      <c r="D7" s="39" t="s">
        <v>335</v>
      </c>
      <c r="E7" s="40" t="s">
        <v>336</v>
      </c>
      <c r="F7" s="34" t="s">
        <v>22</v>
      </c>
      <c r="G7" s="35">
        <f t="shared" si="82"/>
        <v>1</v>
      </c>
      <c r="H7" s="9" t="s">
        <v>22</v>
      </c>
      <c r="I7" s="9">
        <f t="shared" si="83"/>
        <v>1</v>
      </c>
      <c r="J7" s="9">
        <f t="shared" si="84"/>
        <v>1</v>
      </c>
      <c r="L7" s="10" t="s">
        <v>36</v>
      </c>
      <c r="M7" s="10">
        <f>SUM(G91:G112)</f>
        <v>13.5</v>
      </c>
      <c r="N7" s="10">
        <f t="shared" si="85"/>
        <v>61.359999999999999</v>
      </c>
      <c r="O7" s="10">
        <f>SUM(I91:I112)</f>
        <v>14</v>
      </c>
      <c r="P7" s="10">
        <f t="shared" si="86"/>
        <v>63.640000000000001</v>
      </c>
      <c r="Q7" s="11">
        <f t="shared" si="87"/>
        <v>13.75</v>
      </c>
      <c r="R7" s="12">
        <f t="shared" si="88"/>
        <v>62.5</v>
      </c>
    </row>
    <row r="8" ht="72">
      <c r="A8" s="38" t="s">
        <v>17</v>
      </c>
      <c r="B8" s="39" t="s">
        <v>327</v>
      </c>
      <c r="C8" s="40" t="s">
        <v>334</v>
      </c>
      <c r="D8" s="39" t="s">
        <v>335</v>
      </c>
      <c r="E8" s="40" t="s">
        <v>337</v>
      </c>
      <c r="F8" s="9" t="s">
        <v>70</v>
      </c>
      <c r="G8" s="35">
        <f t="shared" si="82"/>
        <v>0.5</v>
      </c>
      <c r="H8" s="9" t="s">
        <v>70</v>
      </c>
      <c r="I8" s="9">
        <f t="shared" si="83"/>
        <v>0.5</v>
      </c>
      <c r="J8" s="9">
        <f t="shared" si="84"/>
        <v>0.5</v>
      </c>
      <c r="L8" s="10" t="s">
        <v>38</v>
      </c>
      <c r="M8" s="10">
        <f>SUM(G113:G134)</f>
        <v>12</v>
      </c>
      <c r="N8" s="10">
        <f t="shared" si="85"/>
        <v>54.549999999999997</v>
      </c>
      <c r="O8" s="10">
        <f>SUM(I113:I134)</f>
        <v>13</v>
      </c>
      <c r="P8" s="10">
        <f t="shared" si="86"/>
        <v>59.090000000000003</v>
      </c>
      <c r="Q8" s="11">
        <f t="shared" si="87"/>
        <v>12.5</v>
      </c>
      <c r="R8" s="12">
        <f t="shared" si="88"/>
        <v>56.82</v>
      </c>
    </row>
    <row r="9" ht="54">
      <c r="A9" s="38" t="s">
        <v>17</v>
      </c>
      <c r="B9" s="39" t="s">
        <v>327</v>
      </c>
      <c r="C9" s="40" t="s">
        <v>334</v>
      </c>
      <c r="D9" s="39" t="s">
        <v>335</v>
      </c>
      <c r="E9" s="40" t="s">
        <v>338</v>
      </c>
      <c r="F9" s="9" t="s">
        <v>70</v>
      </c>
      <c r="G9" s="35">
        <f t="shared" si="82"/>
        <v>0.5</v>
      </c>
      <c r="H9" s="9" t="s">
        <v>70</v>
      </c>
      <c r="I9" s="9">
        <f t="shared" si="83"/>
        <v>0.5</v>
      </c>
      <c r="J9" s="9">
        <f t="shared" si="84"/>
        <v>0.5</v>
      </c>
      <c r="L9" s="10" t="s">
        <v>42</v>
      </c>
      <c r="M9" s="10">
        <f>SUM(G135:G156)</f>
        <v>17</v>
      </c>
      <c r="N9" s="10">
        <f t="shared" si="85"/>
        <v>77.269999999999996</v>
      </c>
      <c r="O9" s="10">
        <f>SUM(I135:I156)</f>
        <v>13.5</v>
      </c>
      <c r="P9" s="10">
        <f t="shared" si="86"/>
        <v>61.359999999999999</v>
      </c>
      <c r="Q9" s="11">
        <f t="shared" si="87"/>
        <v>15.25</v>
      </c>
      <c r="R9" s="12">
        <f t="shared" si="88"/>
        <v>69.319999999999993</v>
      </c>
    </row>
    <row r="10" ht="108">
      <c r="A10" s="38" t="s">
        <v>17</v>
      </c>
      <c r="B10" s="39" t="s">
        <v>327</v>
      </c>
      <c r="C10" s="40" t="s">
        <v>339</v>
      </c>
      <c r="D10" s="39" t="s">
        <v>340</v>
      </c>
      <c r="E10" s="40" t="s">
        <v>341</v>
      </c>
      <c r="F10" s="9" t="s">
        <v>70</v>
      </c>
      <c r="G10" s="35">
        <f t="shared" si="82"/>
        <v>0.5</v>
      </c>
      <c r="H10" s="9" t="s">
        <v>70</v>
      </c>
      <c r="I10" s="9">
        <f t="shared" si="83"/>
        <v>0.5</v>
      </c>
      <c r="J10" s="9">
        <f t="shared" si="84"/>
        <v>0.5</v>
      </c>
    </row>
    <row r="11" ht="72">
      <c r="A11" s="38" t="s">
        <v>17</v>
      </c>
      <c r="B11" s="39" t="s">
        <v>327</v>
      </c>
      <c r="C11" s="40" t="s">
        <v>339</v>
      </c>
      <c r="D11" s="39" t="s">
        <v>340</v>
      </c>
      <c r="E11" s="40" t="s">
        <v>342</v>
      </c>
      <c r="F11" s="34" t="s">
        <v>22</v>
      </c>
      <c r="G11" s="35">
        <f t="shared" si="82"/>
        <v>1</v>
      </c>
      <c r="H11" s="9" t="s">
        <v>22</v>
      </c>
      <c r="I11" s="9">
        <f t="shared" si="83"/>
        <v>1</v>
      </c>
      <c r="J11" s="9">
        <f t="shared" si="84"/>
        <v>1</v>
      </c>
    </row>
    <row r="12" ht="90">
      <c r="A12" s="38" t="s">
        <v>17</v>
      </c>
      <c r="B12" s="39" t="s">
        <v>327</v>
      </c>
      <c r="C12" s="40" t="s">
        <v>339</v>
      </c>
      <c r="D12" s="39" t="s">
        <v>340</v>
      </c>
      <c r="E12" s="40" t="s">
        <v>343</v>
      </c>
      <c r="F12" s="34" t="s">
        <v>22</v>
      </c>
      <c r="G12" s="35">
        <f t="shared" si="82"/>
        <v>1</v>
      </c>
      <c r="H12" s="9" t="s">
        <v>70</v>
      </c>
      <c r="I12" s="9">
        <f t="shared" si="83"/>
        <v>0.5</v>
      </c>
      <c r="J12" s="9">
        <f t="shared" si="84"/>
        <v>0.75</v>
      </c>
    </row>
    <row r="13" ht="54">
      <c r="A13" s="38" t="s">
        <v>17</v>
      </c>
      <c r="B13" s="39" t="s">
        <v>327</v>
      </c>
      <c r="C13" s="40" t="s">
        <v>344</v>
      </c>
      <c r="D13" s="39" t="s">
        <v>345</v>
      </c>
      <c r="E13" s="40" t="s">
        <v>346</v>
      </c>
      <c r="F13" s="34" t="s">
        <v>22</v>
      </c>
      <c r="G13" s="35">
        <f t="shared" si="82"/>
        <v>1</v>
      </c>
      <c r="H13" s="9" t="s">
        <v>22</v>
      </c>
      <c r="I13" s="9">
        <f t="shared" si="83"/>
        <v>1</v>
      </c>
      <c r="J13" s="9">
        <f t="shared" si="84"/>
        <v>1</v>
      </c>
    </row>
    <row r="14" ht="90">
      <c r="A14" s="38" t="s">
        <v>17</v>
      </c>
      <c r="B14" s="39" t="s">
        <v>327</v>
      </c>
      <c r="C14" s="40" t="s">
        <v>344</v>
      </c>
      <c r="D14" s="39" t="s">
        <v>345</v>
      </c>
      <c r="E14" s="40" t="s">
        <v>347</v>
      </c>
      <c r="F14" s="34" t="s">
        <v>22</v>
      </c>
      <c r="G14" s="35">
        <f t="shared" si="82"/>
        <v>1</v>
      </c>
      <c r="H14" s="9" t="s">
        <v>22</v>
      </c>
      <c r="I14" s="9">
        <f t="shared" si="83"/>
        <v>1</v>
      </c>
      <c r="J14" s="9">
        <f t="shared" si="84"/>
        <v>1</v>
      </c>
    </row>
    <row r="15" ht="90">
      <c r="A15" s="38" t="s">
        <v>17</v>
      </c>
      <c r="B15" s="39" t="s">
        <v>327</v>
      </c>
      <c r="C15" s="40" t="s">
        <v>344</v>
      </c>
      <c r="D15" s="39" t="s">
        <v>345</v>
      </c>
      <c r="E15" s="40" t="s">
        <v>348</v>
      </c>
      <c r="F15" s="34" t="s">
        <v>22</v>
      </c>
      <c r="G15" s="35">
        <f t="shared" si="82"/>
        <v>1</v>
      </c>
      <c r="H15" s="9" t="s">
        <v>70</v>
      </c>
      <c r="I15" s="9">
        <f t="shared" si="83"/>
        <v>0.5</v>
      </c>
      <c r="J15" s="9">
        <f t="shared" si="84"/>
        <v>0.75</v>
      </c>
    </row>
    <row r="16" ht="54">
      <c r="A16" s="38" t="s">
        <v>17</v>
      </c>
      <c r="B16" s="39" t="s">
        <v>327</v>
      </c>
      <c r="C16" s="40" t="s">
        <v>344</v>
      </c>
      <c r="D16" s="39" t="s">
        <v>345</v>
      </c>
      <c r="E16" s="40" t="s">
        <v>349</v>
      </c>
      <c r="F16" s="34" t="s">
        <v>22</v>
      </c>
      <c r="G16" s="35">
        <f t="shared" si="82"/>
        <v>1</v>
      </c>
      <c r="H16" s="9" t="s">
        <v>70</v>
      </c>
      <c r="I16" s="9">
        <f t="shared" si="83"/>
        <v>0.5</v>
      </c>
      <c r="J16" s="9">
        <f t="shared" si="84"/>
        <v>0.75</v>
      </c>
    </row>
    <row r="17" ht="72">
      <c r="A17" s="38" t="s">
        <v>17</v>
      </c>
      <c r="B17" s="39" t="s">
        <v>327</v>
      </c>
      <c r="C17" s="40" t="s">
        <v>350</v>
      </c>
      <c r="D17" s="39" t="s">
        <v>351</v>
      </c>
      <c r="E17" s="40" t="s">
        <v>352</v>
      </c>
      <c r="F17" s="34" t="s">
        <v>22</v>
      </c>
      <c r="G17" s="35">
        <f t="shared" si="82"/>
        <v>1</v>
      </c>
      <c r="H17" s="9" t="s">
        <v>22</v>
      </c>
      <c r="I17" s="9">
        <f t="shared" si="83"/>
        <v>1</v>
      </c>
      <c r="J17" s="9">
        <f t="shared" si="84"/>
        <v>1</v>
      </c>
    </row>
    <row r="18" ht="72">
      <c r="A18" s="38" t="s">
        <v>17</v>
      </c>
      <c r="B18" s="39" t="s">
        <v>327</v>
      </c>
      <c r="C18" s="40" t="s">
        <v>350</v>
      </c>
      <c r="D18" s="39" t="s">
        <v>351</v>
      </c>
      <c r="E18" s="40" t="s">
        <v>353</v>
      </c>
      <c r="F18" s="34" t="s">
        <v>22</v>
      </c>
      <c r="G18" s="35">
        <f t="shared" si="82"/>
        <v>1</v>
      </c>
      <c r="H18" s="9" t="s">
        <v>140</v>
      </c>
      <c r="I18" s="9">
        <f t="shared" si="83"/>
        <v>0</v>
      </c>
      <c r="J18" s="9">
        <f t="shared" si="84"/>
        <v>0.5</v>
      </c>
    </row>
    <row r="19" ht="90">
      <c r="A19" s="38" t="s">
        <v>17</v>
      </c>
      <c r="B19" s="39" t="s">
        <v>327</v>
      </c>
      <c r="C19" s="40" t="s">
        <v>350</v>
      </c>
      <c r="D19" s="39" t="s">
        <v>351</v>
      </c>
      <c r="E19" s="40" t="s">
        <v>354</v>
      </c>
      <c r="F19" s="34" t="s">
        <v>22</v>
      </c>
      <c r="G19" s="35">
        <f t="shared" si="82"/>
        <v>1</v>
      </c>
      <c r="H19" s="9" t="s">
        <v>70</v>
      </c>
      <c r="I19" s="9">
        <f t="shared" si="83"/>
        <v>0.5</v>
      </c>
      <c r="J19" s="9">
        <f t="shared" si="84"/>
        <v>0.75</v>
      </c>
    </row>
    <row r="20" ht="54">
      <c r="A20" s="38" t="s">
        <v>17</v>
      </c>
      <c r="B20" s="39" t="s">
        <v>327</v>
      </c>
      <c r="C20" s="40" t="s">
        <v>350</v>
      </c>
      <c r="D20" s="39" t="s">
        <v>351</v>
      </c>
      <c r="E20" s="40" t="s">
        <v>355</v>
      </c>
      <c r="F20" s="34" t="s">
        <v>22</v>
      </c>
      <c r="G20" s="35">
        <f t="shared" si="82"/>
        <v>1</v>
      </c>
      <c r="H20" s="9" t="s">
        <v>140</v>
      </c>
      <c r="I20" s="9">
        <f t="shared" si="83"/>
        <v>0</v>
      </c>
      <c r="J20" s="9">
        <f t="shared" si="84"/>
        <v>0.5</v>
      </c>
    </row>
    <row r="21" ht="54">
      <c r="A21" s="38" t="s">
        <v>17</v>
      </c>
      <c r="B21" s="39" t="s">
        <v>327</v>
      </c>
      <c r="C21" s="40" t="s">
        <v>356</v>
      </c>
      <c r="D21" s="39" t="s">
        <v>357</v>
      </c>
      <c r="E21" s="40" t="s">
        <v>358</v>
      </c>
      <c r="F21" s="34" t="s">
        <v>22</v>
      </c>
      <c r="G21" s="35">
        <f t="shared" si="82"/>
        <v>1</v>
      </c>
      <c r="H21" s="9" t="s">
        <v>70</v>
      </c>
      <c r="I21" s="9">
        <f t="shared" si="83"/>
        <v>0.5</v>
      </c>
      <c r="J21" s="9">
        <f t="shared" si="84"/>
        <v>0.75</v>
      </c>
    </row>
    <row r="22" ht="54">
      <c r="A22" s="38" t="s">
        <v>17</v>
      </c>
      <c r="B22" s="39" t="s">
        <v>327</v>
      </c>
      <c r="C22" s="40" t="s">
        <v>356</v>
      </c>
      <c r="D22" s="39" t="s">
        <v>357</v>
      </c>
      <c r="E22" s="40" t="s">
        <v>359</v>
      </c>
      <c r="F22" s="34" t="s">
        <v>22</v>
      </c>
      <c r="G22" s="35">
        <f t="shared" si="82"/>
        <v>1</v>
      </c>
      <c r="H22" s="9" t="s">
        <v>140</v>
      </c>
      <c r="I22" s="9">
        <f t="shared" si="83"/>
        <v>0</v>
      </c>
      <c r="J22" s="9">
        <f t="shared" si="84"/>
        <v>0.5</v>
      </c>
    </row>
    <row r="23" ht="72">
      <c r="A23" s="38" t="s">
        <v>17</v>
      </c>
      <c r="B23" s="39" t="s">
        <v>327</v>
      </c>
      <c r="C23" s="40" t="s">
        <v>356</v>
      </c>
      <c r="D23" s="39" t="s">
        <v>357</v>
      </c>
      <c r="E23" s="40" t="s">
        <v>360</v>
      </c>
      <c r="F23" s="34" t="s">
        <v>70</v>
      </c>
      <c r="G23" s="35">
        <f t="shared" si="82"/>
        <v>0.5</v>
      </c>
      <c r="H23" s="9" t="s">
        <v>140</v>
      </c>
      <c r="I23" s="9">
        <f t="shared" si="83"/>
        <v>0</v>
      </c>
      <c r="J23" s="9">
        <f t="shared" si="84"/>
        <v>0.25</v>
      </c>
    </row>
    <row r="24" ht="72">
      <c r="A24" s="24" t="s">
        <v>17</v>
      </c>
      <c r="B24" s="39" t="s">
        <v>327</v>
      </c>
      <c r="C24" s="26" t="s">
        <v>356</v>
      </c>
      <c r="D24" s="25" t="s">
        <v>357</v>
      </c>
      <c r="E24" s="26" t="s">
        <v>361</v>
      </c>
      <c r="F24" s="41" t="s">
        <v>22</v>
      </c>
      <c r="G24" s="42">
        <f t="shared" si="82"/>
        <v>1</v>
      </c>
      <c r="H24" s="43" t="s">
        <v>140</v>
      </c>
      <c r="I24" s="9">
        <f t="shared" si="83"/>
        <v>0</v>
      </c>
      <c r="J24" s="43">
        <f t="shared" si="84"/>
        <v>0.5</v>
      </c>
    </row>
    <row r="25" ht="54">
      <c r="A25" s="24" t="s">
        <v>25</v>
      </c>
      <c r="B25" s="25" t="s">
        <v>327</v>
      </c>
      <c r="C25" s="26" t="s">
        <v>328</v>
      </c>
      <c r="D25" s="25" t="s">
        <v>329</v>
      </c>
      <c r="E25" s="26" t="s">
        <v>330</v>
      </c>
      <c r="F25" s="41" t="s">
        <v>53</v>
      </c>
      <c r="G25" s="42">
        <f t="shared" si="82"/>
        <v>0</v>
      </c>
      <c r="H25" s="43" t="s">
        <v>140</v>
      </c>
      <c r="I25" s="9">
        <f t="shared" si="83"/>
        <v>0</v>
      </c>
      <c r="J25" s="43">
        <f t="shared" si="84"/>
        <v>0</v>
      </c>
    </row>
    <row r="26" ht="54">
      <c r="A26" s="38" t="s">
        <v>25</v>
      </c>
      <c r="B26" s="39" t="s">
        <v>327</v>
      </c>
      <c r="C26" s="40" t="s">
        <v>328</v>
      </c>
      <c r="D26" s="39" t="s">
        <v>329</v>
      </c>
      <c r="E26" s="40" t="s">
        <v>331</v>
      </c>
      <c r="F26" s="34" t="s">
        <v>22</v>
      </c>
      <c r="G26" s="35">
        <f t="shared" si="82"/>
        <v>1</v>
      </c>
      <c r="H26" s="9" t="s">
        <v>70</v>
      </c>
      <c r="I26" s="9">
        <f t="shared" si="83"/>
        <v>0.5</v>
      </c>
      <c r="J26" s="9">
        <f t="shared" si="84"/>
        <v>0.75</v>
      </c>
    </row>
    <row r="27" ht="54">
      <c r="A27" s="38" t="s">
        <v>25</v>
      </c>
      <c r="B27" s="39" t="s">
        <v>327</v>
      </c>
      <c r="C27" s="40" t="s">
        <v>328</v>
      </c>
      <c r="D27" s="39" t="s">
        <v>329</v>
      </c>
      <c r="E27" s="40" t="s">
        <v>332</v>
      </c>
      <c r="F27" s="34" t="s">
        <v>22</v>
      </c>
      <c r="G27" s="35">
        <f t="shared" si="82"/>
        <v>1</v>
      </c>
      <c r="H27" s="9" t="s">
        <v>22</v>
      </c>
      <c r="I27" s="9">
        <f t="shared" si="83"/>
        <v>1</v>
      </c>
      <c r="J27" s="9">
        <f t="shared" si="84"/>
        <v>1</v>
      </c>
    </row>
    <row r="28" ht="54">
      <c r="A28" s="38" t="s">
        <v>25</v>
      </c>
      <c r="B28" s="39" t="s">
        <v>327</v>
      </c>
      <c r="C28" s="40" t="s">
        <v>328</v>
      </c>
      <c r="D28" s="39" t="s">
        <v>329</v>
      </c>
      <c r="E28" s="40" t="s">
        <v>333</v>
      </c>
      <c r="F28" s="34" t="s">
        <v>22</v>
      </c>
      <c r="G28" s="35">
        <f t="shared" si="82"/>
        <v>1</v>
      </c>
      <c r="H28" s="9" t="s">
        <v>22</v>
      </c>
      <c r="I28" s="9">
        <f t="shared" si="83"/>
        <v>1</v>
      </c>
      <c r="J28" s="9">
        <f t="shared" si="84"/>
        <v>1</v>
      </c>
    </row>
    <row r="29" ht="54">
      <c r="A29" s="38" t="s">
        <v>25</v>
      </c>
      <c r="B29" s="39" t="s">
        <v>327</v>
      </c>
      <c r="C29" s="40" t="s">
        <v>334</v>
      </c>
      <c r="D29" s="39" t="s">
        <v>335</v>
      </c>
      <c r="E29" s="40" t="s">
        <v>336</v>
      </c>
      <c r="F29" s="34" t="s">
        <v>22</v>
      </c>
      <c r="G29" s="35">
        <f t="shared" si="82"/>
        <v>1</v>
      </c>
      <c r="H29" s="9" t="s">
        <v>22</v>
      </c>
      <c r="I29" s="9">
        <f t="shared" si="83"/>
        <v>1</v>
      </c>
      <c r="J29" s="9">
        <f t="shared" si="84"/>
        <v>1</v>
      </c>
    </row>
    <row r="30" ht="72">
      <c r="A30" s="38" t="s">
        <v>25</v>
      </c>
      <c r="B30" s="39" t="s">
        <v>327</v>
      </c>
      <c r="C30" s="40" t="s">
        <v>334</v>
      </c>
      <c r="D30" s="39" t="s">
        <v>335</v>
      </c>
      <c r="E30" s="40" t="s">
        <v>337</v>
      </c>
      <c r="F30" s="9" t="s">
        <v>22</v>
      </c>
      <c r="G30" s="35">
        <f t="shared" si="82"/>
        <v>1</v>
      </c>
      <c r="H30" s="9" t="s">
        <v>22</v>
      </c>
      <c r="I30" s="9">
        <f t="shared" si="83"/>
        <v>1</v>
      </c>
      <c r="J30" s="9">
        <f t="shared" si="84"/>
        <v>1</v>
      </c>
    </row>
    <row r="31" ht="54">
      <c r="A31" s="38" t="s">
        <v>25</v>
      </c>
      <c r="B31" s="39" t="s">
        <v>327</v>
      </c>
      <c r="C31" s="40" t="s">
        <v>334</v>
      </c>
      <c r="D31" s="39" t="s">
        <v>335</v>
      </c>
      <c r="E31" s="40" t="s">
        <v>338</v>
      </c>
      <c r="F31" s="9" t="s">
        <v>22</v>
      </c>
      <c r="G31" s="35">
        <f t="shared" si="82"/>
        <v>1</v>
      </c>
      <c r="H31" s="9" t="s">
        <v>22</v>
      </c>
      <c r="I31" s="9">
        <f t="shared" si="83"/>
        <v>1</v>
      </c>
      <c r="J31" s="9">
        <f t="shared" si="84"/>
        <v>1</v>
      </c>
    </row>
    <row r="32" ht="108">
      <c r="A32" s="38" t="s">
        <v>25</v>
      </c>
      <c r="B32" s="39" t="s">
        <v>327</v>
      </c>
      <c r="C32" s="40" t="s">
        <v>339</v>
      </c>
      <c r="D32" s="39" t="s">
        <v>340</v>
      </c>
      <c r="E32" s="40" t="s">
        <v>341</v>
      </c>
      <c r="F32" s="9" t="s">
        <v>22</v>
      </c>
      <c r="G32" s="35">
        <f t="shared" si="82"/>
        <v>1</v>
      </c>
      <c r="H32" s="9" t="s">
        <v>70</v>
      </c>
      <c r="I32" s="9">
        <f t="shared" si="83"/>
        <v>0.5</v>
      </c>
      <c r="J32" s="9">
        <f t="shared" si="84"/>
        <v>0.75</v>
      </c>
    </row>
    <row r="33" ht="72">
      <c r="A33" s="38" t="s">
        <v>25</v>
      </c>
      <c r="B33" s="39" t="s">
        <v>327</v>
      </c>
      <c r="C33" s="40" t="s">
        <v>339</v>
      </c>
      <c r="D33" s="39" t="s">
        <v>340</v>
      </c>
      <c r="E33" s="40" t="s">
        <v>342</v>
      </c>
      <c r="F33" s="34" t="s">
        <v>22</v>
      </c>
      <c r="G33" s="35">
        <f t="shared" si="82"/>
        <v>1</v>
      </c>
      <c r="H33" s="9" t="s">
        <v>22</v>
      </c>
      <c r="I33" s="9">
        <f t="shared" si="83"/>
        <v>1</v>
      </c>
      <c r="J33" s="9">
        <f t="shared" si="84"/>
        <v>1</v>
      </c>
    </row>
    <row r="34" ht="90">
      <c r="A34" s="38" t="s">
        <v>25</v>
      </c>
      <c r="B34" s="39" t="s">
        <v>327</v>
      </c>
      <c r="C34" s="40" t="s">
        <v>339</v>
      </c>
      <c r="D34" s="39" t="s">
        <v>340</v>
      </c>
      <c r="E34" s="40" t="s">
        <v>343</v>
      </c>
      <c r="F34" s="34" t="s">
        <v>22</v>
      </c>
      <c r="G34" s="35">
        <f t="shared" si="82"/>
        <v>1</v>
      </c>
      <c r="H34" s="9" t="s">
        <v>140</v>
      </c>
      <c r="I34" s="9">
        <f t="shared" si="83"/>
        <v>0</v>
      </c>
      <c r="J34" s="9">
        <f t="shared" si="84"/>
        <v>0.5</v>
      </c>
    </row>
    <row r="35" ht="54">
      <c r="A35" s="38" t="s">
        <v>25</v>
      </c>
      <c r="B35" s="39" t="s">
        <v>327</v>
      </c>
      <c r="C35" s="40" t="s">
        <v>344</v>
      </c>
      <c r="D35" s="39" t="s">
        <v>345</v>
      </c>
      <c r="E35" s="40" t="s">
        <v>346</v>
      </c>
      <c r="F35" s="34" t="s">
        <v>22</v>
      </c>
      <c r="G35" s="35">
        <f t="shared" si="82"/>
        <v>1</v>
      </c>
      <c r="H35" s="9" t="s">
        <v>22</v>
      </c>
      <c r="I35" s="9">
        <f t="shared" si="83"/>
        <v>1</v>
      </c>
      <c r="J35" s="9">
        <f t="shared" ref="J35:J98" si="89">AVERAGE(G35,I35)</f>
        <v>1</v>
      </c>
    </row>
    <row r="36" ht="90">
      <c r="A36" s="38" t="s">
        <v>25</v>
      </c>
      <c r="B36" s="39" t="s">
        <v>327</v>
      </c>
      <c r="C36" s="40" t="s">
        <v>344</v>
      </c>
      <c r="D36" s="39" t="s">
        <v>345</v>
      </c>
      <c r="E36" s="40" t="s">
        <v>347</v>
      </c>
      <c r="F36" s="34" t="s">
        <v>22</v>
      </c>
      <c r="G36" s="35">
        <f t="shared" si="82"/>
        <v>1</v>
      </c>
      <c r="H36" s="9" t="s">
        <v>22</v>
      </c>
      <c r="I36" s="9">
        <f t="shared" si="83"/>
        <v>1</v>
      </c>
      <c r="J36" s="9">
        <f t="shared" si="89"/>
        <v>1</v>
      </c>
    </row>
    <row r="37" ht="90">
      <c r="A37" s="38" t="s">
        <v>25</v>
      </c>
      <c r="B37" s="39" t="s">
        <v>327</v>
      </c>
      <c r="C37" s="40" t="s">
        <v>344</v>
      </c>
      <c r="D37" s="39" t="s">
        <v>345</v>
      </c>
      <c r="E37" s="40" t="s">
        <v>348</v>
      </c>
      <c r="F37" s="34" t="s">
        <v>22</v>
      </c>
      <c r="G37" s="35">
        <f t="shared" si="82"/>
        <v>1</v>
      </c>
      <c r="H37" s="9" t="s">
        <v>22</v>
      </c>
      <c r="I37" s="9">
        <f t="shared" si="83"/>
        <v>1</v>
      </c>
      <c r="J37" s="9">
        <f t="shared" si="89"/>
        <v>1</v>
      </c>
    </row>
    <row r="38" ht="54">
      <c r="A38" s="38" t="s">
        <v>25</v>
      </c>
      <c r="B38" s="39" t="s">
        <v>327</v>
      </c>
      <c r="C38" s="40" t="s">
        <v>344</v>
      </c>
      <c r="D38" s="39" t="s">
        <v>345</v>
      </c>
      <c r="E38" s="40" t="s">
        <v>349</v>
      </c>
      <c r="F38" s="34" t="s">
        <v>22</v>
      </c>
      <c r="G38" s="35">
        <f t="shared" si="82"/>
        <v>1</v>
      </c>
      <c r="H38" s="9" t="s">
        <v>70</v>
      </c>
      <c r="I38" s="9">
        <f t="shared" si="83"/>
        <v>0.5</v>
      </c>
      <c r="J38" s="9">
        <f t="shared" si="89"/>
        <v>0.75</v>
      </c>
    </row>
    <row r="39" ht="72">
      <c r="A39" s="38" t="s">
        <v>25</v>
      </c>
      <c r="B39" s="39" t="s">
        <v>327</v>
      </c>
      <c r="C39" s="40" t="s">
        <v>350</v>
      </c>
      <c r="D39" s="39" t="s">
        <v>351</v>
      </c>
      <c r="E39" s="40" t="s">
        <v>352</v>
      </c>
      <c r="F39" s="34" t="s">
        <v>22</v>
      </c>
      <c r="G39" s="35">
        <f t="shared" si="82"/>
        <v>1</v>
      </c>
      <c r="H39" s="9" t="s">
        <v>22</v>
      </c>
      <c r="I39" s="9">
        <f t="shared" si="83"/>
        <v>1</v>
      </c>
      <c r="J39" s="9">
        <f t="shared" si="89"/>
        <v>1</v>
      </c>
    </row>
    <row r="40" ht="72">
      <c r="A40" s="38" t="s">
        <v>25</v>
      </c>
      <c r="B40" s="39" t="s">
        <v>327</v>
      </c>
      <c r="C40" s="40" t="s">
        <v>350</v>
      </c>
      <c r="D40" s="39" t="s">
        <v>351</v>
      </c>
      <c r="E40" s="40" t="s">
        <v>353</v>
      </c>
      <c r="F40" s="34" t="s">
        <v>22</v>
      </c>
      <c r="G40" s="35">
        <f t="shared" si="82"/>
        <v>1</v>
      </c>
      <c r="H40" s="9" t="s">
        <v>70</v>
      </c>
      <c r="I40" s="9">
        <f t="shared" si="83"/>
        <v>0.5</v>
      </c>
      <c r="J40" s="9">
        <f t="shared" si="89"/>
        <v>0.75</v>
      </c>
    </row>
    <row r="41" ht="90">
      <c r="A41" s="38" t="s">
        <v>25</v>
      </c>
      <c r="B41" s="39" t="s">
        <v>327</v>
      </c>
      <c r="C41" s="40" t="s">
        <v>350</v>
      </c>
      <c r="D41" s="39" t="s">
        <v>351</v>
      </c>
      <c r="E41" s="40" t="s">
        <v>354</v>
      </c>
      <c r="F41" s="34" t="s">
        <v>22</v>
      </c>
      <c r="G41" s="35">
        <f t="shared" si="82"/>
        <v>1</v>
      </c>
      <c r="H41" s="9" t="s">
        <v>70</v>
      </c>
      <c r="I41" s="9">
        <f t="shared" si="83"/>
        <v>0.5</v>
      </c>
      <c r="J41" s="9">
        <f t="shared" si="89"/>
        <v>0.75</v>
      </c>
    </row>
    <row r="42" ht="54">
      <c r="A42" s="38" t="s">
        <v>25</v>
      </c>
      <c r="B42" s="39" t="s">
        <v>327</v>
      </c>
      <c r="C42" s="40" t="s">
        <v>350</v>
      </c>
      <c r="D42" s="39" t="s">
        <v>351</v>
      </c>
      <c r="E42" s="40" t="s">
        <v>355</v>
      </c>
      <c r="F42" s="34" t="s">
        <v>22</v>
      </c>
      <c r="G42" s="35">
        <f t="shared" si="82"/>
        <v>1</v>
      </c>
      <c r="H42" s="9" t="s">
        <v>70</v>
      </c>
      <c r="I42" s="9">
        <f t="shared" si="83"/>
        <v>0.5</v>
      </c>
      <c r="J42" s="9">
        <f t="shared" si="89"/>
        <v>0.75</v>
      </c>
    </row>
    <row r="43" ht="54">
      <c r="A43" s="38" t="s">
        <v>25</v>
      </c>
      <c r="B43" s="39" t="s">
        <v>327</v>
      </c>
      <c r="C43" s="40" t="s">
        <v>356</v>
      </c>
      <c r="D43" s="39" t="s">
        <v>357</v>
      </c>
      <c r="E43" s="40" t="s">
        <v>358</v>
      </c>
      <c r="F43" s="34" t="s">
        <v>22</v>
      </c>
      <c r="G43" s="35">
        <f t="shared" si="82"/>
        <v>1</v>
      </c>
      <c r="H43" s="9" t="s">
        <v>70</v>
      </c>
      <c r="I43" s="9">
        <f t="shared" si="83"/>
        <v>0.5</v>
      </c>
      <c r="J43" s="9">
        <f t="shared" si="89"/>
        <v>0.75</v>
      </c>
    </row>
    <row r="44" ht="54">
      <c r="A44" s="38" t="s">
        <v>25</v>
      </c>
      <c r="B44" s="39" t="s">
        <v>327</v>
      </c>
      <c r="C44" s="40" t="s">
        <v>356</v>
      </c>
      <c r="D44" s="39" t="s">
        <v>357</v>
      </c>
      <c r="E44" s="40" t="s">
        <v>359</v>
      </c>
      <c r="F44" s="34" t="s">
        <v>22</v>
      </c>
      <c r="G44" s="35">
        <f t="shared" si="82"/>
        <v>1</v>
      </c>
      <c r="H44" s="9" t="s">
        <v>140</v>
      </c>
      <c r="I44" s="9">
        <f t="shared" si="83"/>
        <v>0</v>
      </c>
      <c r="J44" s="9">
        <f t="shared" si="89"/>
        <v>0.5</v>
      </c>
    </row>
    <row r="45" ht="72">
      <c r="A45" s="38" t="s">
        <v>25</v>
      </c>
      <c r="B45" s="39" t="s">
        <v>327</v>
      </c>
      <c r="C45" s="40" t="s">
        <v>356</v>
      </c>
      <c r="D45" s="39" t="s">
        <v>357</v>
      </c>
      <c r="E45" s="40" t="s">
        <v>360</v>
      </c>
      <c r="F45" s="34" t="s">
        <v>22</v>
      </c>
      <c r="G45" s="35">
        <f t="shared" si="82"/>
        <v>1</v>
      </c>
      <c r="H45" s="9" t="s">
        <v>140</v>
      </c>
      <c r="I45" s="9">
        <f t="shared" si="83"/>
        <v>0</v>
      </c>
      <c r="J45" s="9">
        <f t="shared" si="89"/>
        <v>0.5</v>
      </c>
    </row>
    <row r="46" ht="72">
      <c r="A46" s="38" t="s">
        <v>25</v>
      </c>
      <c r="B46" s="39" t="s">
        <v>327</v>
      </c>
      <c r="C46" s="40" t="s">
        <v>356</v>
      </c>
      <c r="D46" s="39" t="s">
        <v>357</v>
      </c>
      <c r="E46" s="40" t="s">
        <v>361</v>
      </c>
      <c r="F46" s="34" t="s">
        <v>22</v>
      </c>
      <c r="G46" s="35">
        <f t="shared" si="82"/>
        <v>1</v>
      </c>
      <c r="H46" s="9" t="s">
        <v>140</v>
      </c>
      <c r="I46" s="9">
        <f t="shared" si="83"/>
        <v>0</v>
      </c>
      <c r="J46" s="9">
        <f t="shared" si="89"/>
        <v>0.5</v>
      </c>
    </row>
    <row r="47" ht="54">
      <c r="A47" s="38" t="s">
        <v>29</v>
      </c>
      <c r="B47" s="25" t="s">
        <v>327</v>
      </c>
      <c r="C47" s="26" t="s">
        <v>328</v>
      </c>
      <c r="D47" s="25" t="s">
        <v>329</v>
      </c>
      <c r="E47" s="26" t="s">
        <v>330</v>
      </c>
      <c r="F47" s="34" t="s">
        <v>53</v>
      </c>
      <c r="G47" s="35">
        <f t="shared" si="82"/>
        <v>0</v>
      </c>
      <c r="H47" s="9" t="s">
        <v>140</v>
      </c>
      <c r="I47" s="9">
        <f t="shared" si="83"/>
        <v>0</v>
      </c>
      <c r="J47" s="9">
        <f t="shared" si="89"/>
        <v>0</v>
      </c>
    </row>
    <row r="48" ht="54">
      <c r="A48" s="38" t="s">
        <v>29</v>
      </c>
      <c r="B48" s="39" t="s">
        <v>327</v>
      </c>
      <c r="C48" s="40" t="s">
        <v>328</v>
      </c>
      <c r="D48" s="39" t="s">
        <v>329</v>
      </c>
      <c r="E48" s="40" t="s">
        <v>331</v>
      </c>
      <c r="F48" s="34" t="s">
        <v>22</v>
      </c>
      <c r="G48" s="35">
        <f t="shared" si="82"/>
        <v>1</v>
      </c>
      <c r="H48" s="9" t="s">
        <v>31</v>
      </c>
      <c r="I48" s="9">
        <f t="shared" si="83"/>
        <v>0.5</v>
      </c>
      <c r="J48" s="9">
        <f t="shared" si="89"/>
        <v>0.75</v>
      </c>
    </row>
    <row r="49" ht="54">
      <c r="A49" s="38" t="s">
        <v>29</v>
      </c>
      <c r="B49" s="39" t="s">
        <v>327</v>
      </c>
      <c r="C49" s="40" t="s">
        <v>328</v>
      </c>
      <c r="D49" s="39" t="s">
        <v>329</v>
      </c>
      <c r="E49" s="40" t="s">
        <v>332</v>
      </c>
      <c r="F49" s="34" t="s">
        <v>22</v>
      </c>
      <c r="G49" s="35">
        <f t="shared" si="82"/>
        <v>1</v>
      </c>
      <c r="H49" s="9" t="s">
        <v>22</v>
      </c>
      <c r="I49" s="9">
        <f t="shared" si="83"/>
        <v>1</v>
      </c>
      <c r="J49" s="9">
        <f t="shared" si="89"/>
        <v>1</v>
      </c>
    </row>
    <row r="50" ht="54">
      <c r="A50" s="38" t="s">
        <v>29</v>
      </c>
      <c r="B50" s="39" t="s">
        <v>327</v>
      </c>
      <c r="C50" s="40" t="s">
        <v>328</v>
      </c>
      <c r="D50" s="39" t="s">
        <v>329</v>
      </c>
      <c r="E50" s="40" t="s">
        <v>333</v>
      </c>
      <c r="F50" s="34" t="s">
        <v>22</v>
      </c>
      <c r="G50" s="35">
        <f t="shared" si="82"/>
        <v>1</v>
      </c>
      <c r="H50" s="9" t="s">
        <v>22</v>
      </c>
      <c r="I50" s="9">
        <f t="shared" si="83"/>
        <v>1</v>
      </c>
      <c r="J50" s="9">
        <f t="shared" si="89"/>
        <v>1</v>
      </c>
    </row>
    <row r="51" ht="54">
      <c r="A51" s="38" t="s">
        <v>29</v>
      </c>
      <c r="B51" s="39" t="s">
        <v>327</v>
      </c>
      <c r="C51" s="40" t="s">
        <v>334</v>
      </c>
      <c r="D51" s="39" t="s">
        <v>335</v>
      </c>
      <c r="E51" s="40" t="s">
        <v>336</v>
      </c>
      <c r="F51" s="34" t="s">
        <v>22</v>
      </c>
      <c r="G51" s="35">
        <f t="shared" si="82"/>
        <v>1</v>
      </c>
      <c r="H51" s="9" t="s">
        <v>22</v>
      </c>
      <c r="I51" s="9">
        <f t="shared" si="83"/>
        <v>1</v>
      </c>
      <c r="J51" s="9">
        <f t="shared" si="89"/>
        <v>1</v>
      </c>
    </row>
    <row r="52" ht="72">
      <c r="A52" s="38" t="s">
        <v>29</v>
      </c>
      <c r="B52" s="39" t="s">
        <v>327</v>
      </c>
      <c r="C52" s="40" t="s">
        <v>334</v>
      </c>
      <c r="D52" s="39" t="s">
        <v>335</v>
      </c>
      <c r="E52" s="40" t="s">
        <v>337</v>
      </c>
      <c r="F52" s="9" t="s">
        <v>31</v>
      </c>
      <c r="G52" s="35">
        <f t="shared" si="82"/>
        <v>0.5</v>
      </c>
      <c r="H52" s="9" t="s">
        <v>31</v>
      </c>
      <c r="I52" s="9">
        <f t="shared" si="83"/>
        <v>0.5</v>
      </c>
      <c r="J52" s="9">
        <f t="shared" si="89"/>
        <v>0.5</v>
      </c>
    </row>
    <row r="53" ht="54">
      <c r="A53" s="38" t="s">
        <v>29</v>
      </c>
      <c r="B53" s="39" t="s">
        <v>327</v>
      </c>
      <c r="C53" s="40" t="s">
        <v>334</v>
      </c>
      <c r="D53" s="39" t="s">
        <v>335</v>
      </c>
      <c r="E53" s="40" t="s">
        <v>338</v>
      </c>
      <c r="F53" s="9" t="s">
        <v>31</v>
      </c>
      <c r="G53" s="35">
        <f t="shared" si="82"/>
        <v>0.5</v>
      </c>
      <c r="H53" s="9" t="s">
        <v>31</v>
      </c>
      <c r="I53" s="9">
        <f t="shared" si="83"/>
        <v>0.5</v>
      </c>
      <c r="J53" s="9">
        <f t="shared" si="89"/>
        <v>0.5</v>
      </c>
    </row>
    <row r="54" ht="108">
      <c r="A54" s="38" t="s">
        <v>29</v>
      </c>
      <c r="B54" s="39" t="s">
        <v>327</v>
      </c>
      <c r="C54" s="40" t="s">
        <v>339</v>
      </c>
      <c r="D54" s="39" t="s">
        <v>340</v>
      </c>
      <c r="E54" s="40" t="s">
        <v>341</v>
      </c>
      <c r="F54" s="9" t="s">
        <v>31</v>
      </c>
      <c r="G54" s="35">
        <f t="shared" si="82"/>
        <v>0.5</v>
      </c>
      <c r="H54" s="9" t="s">
        <v>31</v>
      </c>
      <c r="I54" s="9">
        <f t="shared" si="83"/>
        <v>0.5</v>
      </c>
      <c r="J54" s="9">
        <f t="shared" si="89"/>
        <v>0.5</v>
      </c>
    </row>
    <row r="55" ht="72">
      <c r="A55" s="38" t="s">
        <v>29</v>
      </c>
      <c r="B55" s="39" t="s">
        <v>327</v>
      </c>
      <c r="C55" s="40" t="s">
        <v>339</v>
      </c>
      <c r="D55" s="39" t="s">
        <v>340</v>
      </c>
      <c r="E55" s="40" t="s">
        <v>342</v>
      </c>
      <c r="F55" s="9" t="s">
        <v>22</v>
      </c>
      <c r="G55" s="35">
        <f t="shared" si="82"/>
        <v>1</v>
      </c>
      <c r="H55" s="9" t="s">
        <v>22</v>
      </c>
      <c r="I55" s="9">
        <f t="shared" si="83"/>
        <v>1</v>
      </c>
      <c r="J55" s="9">
        <f t="shared" si="89"/>
        <v>1</v>
      </c>
    </row>
    <row r="56" ht="90">
      <c r="A56" s="38" t="s">
        <v>29</v>
      </c>
      <c r="B56" s="39" t="s">
        <v>327</v>
      </c>
      <c r="C56" s="40" t="s">
        <v>339</v>
      </c>
      <c r="D56" s="39" t="s">
        <v>340</v>
      </c>
      <c r="E56" s="40" t="s">
        <v>343</v>
      </c>
      <c r="F56" s="9" t="s">
        <v>140</v>
      </c>
      <c r="G56" s="35">
        <f t="shared" si="82"/>
        <v>0</v>
      </c>
      <c r="H56" s="9" t="s">
        <v>140</v>
      </c>
      <c r="I56" s="9">
        <f t="shared" si="83"/>
        <v>0</v>
      </c>
      <c r="J56" s="9">
        <f t="shared" si="89"/>
        <v>0</v>
      </c>
    </row>
    <row r="57" ht="54">
      <c r="A57" s="38" t="s">
        <v>29</v>
      </c>
      <c r="B57" s="39" t="s">
        <v>327</v>
      </c>
      <c r="C57" s="40" t="s">
        <v>344</v>
      </c>
      <c r="D57" s="39" t="s">
        <v>345</v>
      </c>
      <c r="E57" s="40" t="s">
        <v>346</v>
      </c>
      <c r="F57" s="9" t="s">
        <v>22</v>
      </c>
      <c r="G57" s="35">
        <f t="shared" si="82"/>
        <v>1</v>
      </c>
      <c r="H57" s="9" t="s">
        <v>22</v>
      </c>
      <c r="I57" s="9">
        <f t="shared" si="83"/>
        <v>1</v>
      </c>
      <c r="J57" s="9">
        <f t="shared" si="89"/>
        <v>1</v>
      </c>
    </row>
    <row r="58" ht="90">
      <c r="A58" s="38" t="s">
        <v>29</v>
      </c>
      <c r="B58" s="39" t="s">
        <v>327</v>
      </c>
      <c r="C58" s="40" t="s">
        <v>344</v>
      </c>
      <c r="D58" s="39" t="s">
        <v>345</v>
      </c>
      <c r="E58" s="40" t="s">
        <v>347</v>
      </c>
      <c r="F58" s="9" t="s">
        <v>22</v>
      </c>
      <c r="G58" s="35">
        <f t="shared" si="82"/>
        <v>1</v>
      </c>
      <c r="H58" s="9" t="s">
        <v>22</v>
      </c>
      <c r="I58" s="9">
        <f t="shared" si="83"/>
        <v>1</v>
      </c>
      <c r="J58" s="9">
        <f t="shared" si="89"/>
        <v>1</v>
      </c>
    </row>
    <row r="59" ht="90">
      <c r="A59" s="38" t="s">
        <v>29</v>
      </c>
      <c r="B59" s="39" t="s">
        <v>327</v>
      </c>
      <c r="C59" s="40" t="s">
        <v>344</v>
      </c>
      <c r="D59" s="39" t="s">
        <v>345</v>
      </c>
      <c r="E59" s="40" t="s">
        <v>348</v>
      </c>
      <c r="F59" s="34" t="s">
        <v>22</v>
      </c>
      <c r="G59" s="35">
        <f t="shared" si="82"/>
        <v>1</v>
      </c>
      <c r="H59" s="34" t="s">
        <v>22</v>
      </c>
      <c r="I59" s="9">
        <f t="shared" si="83"/>
        <v>1</v>
      </c>
      <c r="J59" s="9">
        <f t="shared" si="89"/>
        <v>1</v>
      </c>
    </row>
    <row r="60" ht="54">
      <c r="A60" s="38" t="s">
        <v>29</v>
      </c>
      <c r="B60" s="39" t="s">
        <v>327</v>
      </c>
      <c r="C60" s="40" t="s">
        <v>344</v>
      </c>
      <c r="D60" s="39" t="s">
        <v>345</v>
      </c>
      <c r="E60" s="40" t="s">
        <v>349</v>
      </c>
      <c r="F60" s="9" t="s">
        <v>31</v>
      </c>
      <c r="G60" s="35">
        <f t="shared" si="82"/>
        <v>0.5</v>
      </c>
      <c r="H60" s="9" t="s">
        <v>31</v>
      </c>
      <c r="I60" s="9">
        <f t="shared" si="83"/>
        <v>0.5</v>
      </c>
      <c r="J60" s="9">
        <f t="shared" si="89"/>
        <v>0.5</v>
      </c>
    </row>
    <row r="61" ht="72">
      <c r="A61" s="38" t="s">
        <v>29</v>
      </c>
      <c r="B61" s="39" t="s">
        <v>327</v>
      </c>
      <c r="C61" s="40" t="s">
        <v>350</v>
      </c>
      <c r="D61" s="39" t="s">
        <v>351</v>
      </c>
      <c r="E61" s="40" t="s">
        <v>352</v>
      </c>
      <c r="F61" s="9" t="s">
        <v>22</v>
      </c>
      <c r="G61" s="35">
        <f t="shared" si="82"/>
        <v>1</v>
      </c>
      <c r="H61" s="9" t="s">
        <v>22</v>
      </c>
      <c r="I61" s="9">
        <f t="shared" si="83"/>
        <v>1</v>
      </c>
      <c r="J61" s="9">
        <f t="shared" si="89"/>
        <v>1</v>
      </c>
    </row>
    <row r="62" ht="72">
      <c r="A62" s="38" t="s">
        <v>29</v>
      </c>
      <c r="B62" s="39" t="s">
        <v>327</v>
      </c>
      <c r="C62" s="40" t="s">
        <v>350</v>
      </c>
      <c r="D62" s="39" t="s">
        <v>351</v>
      </c>
      <c r="E62" s="40" t="s">
        <v>353</v>
      </c>
      <c r="F62" s="9" t="s">
        <v>31</v>
      </c>
      <c r="G62" s="35">
        <f t="shared" si="82"/>
        <v>0.5</v>
      </c>
      <c r="H62" s="9" t="s">
        <v>31</v>
      </c>
      <c r="I62" s="9">
        <f t="shared" si="83"/>
        <v>0.5</v>
      </c>
      <c r="J62" s="9">
        <f t="shared" si="89"/>
        <v>0.5</v>
      </c>
    </row>
    <row r="63" ht="90">
      <c r="A63" s="38" t="s">
        <v>29</v>
      </c>
      <c r="B63" s="39" t="s">
        <v>327</v>
      </c>
      <c r="C63" s="40" t="s">
        <v>350</v>
      </c>
      <c r="D63" s="39" t="s">
        <v>351</v>
      </c>
      <c r="E63" s="40" t="s">
        <v>354</v>
      </c>
      <c r="F63" s="9" t="s">
        <v>31</v>
      </c>
      <c r="G63" s="35">
        <f t="shared" si="82"/>
        <v>0.5</v>
      </c>
      <c r="H63" s="9" t="s">
        <v>31</v>
      </c>
      <c r="I63" s="9">
        <f t="shared" si="83"/>
        <v>0.5</v>
      </c>
      <c r="J63" s="9">
        <f t="shared" si="89"/>
        <v>0.5</v>
      </c>
    </row>
    <row r="64" ht="54">
      <c r="A64" s="38" t="s">
        <v>29</v>
      </c>
      <c r="B64" s="39" t="s">
        <v>327</v>
      </c>
      <c r="C64" s="40" t="s">
        <v>350</v>
      </c>
      <c r="D64" s="39" t="s">
        <v>351</v>
      </c>
      <c r="E64" s="40" t="s">
        <v>355</v>
      </c>
      <c r="F64" s="9" t="s">
        <v>31</v>
      </c>
      <c r="G64" s="35">
        <f t="shared" si="82"/>
        <v>0.5</v>
      </c>
      <c r="H64" s="9" t="s">
        <v>31</v>
      </c>
      <c r="I64" s="9">
        <f t="shared" si="83"/>
        <v>0.5</v>
      </c>
      <c r="J64" s="9">
        <f t="shared" si="89"/>
        <v>0.5</v>
      </c>
    </row>
    <row r="65" ht="54">
      <c r="A65" s="38" t="s">
        <v>29</v>
      </c>
      <c r="B65" s="39" t="s">
        <v>327</v>
      </c>
      <c r="C65" s="40" t="s">
        <v>356</v>
      </c>
      <c r="D65" s="39" t="s">
        <v>357</v>
      </c>
      <c r="E65" s="40" t="s">
        <v>358</v>
      </c>
      <c r="F65" s="9" t="s">
        <v>31</v>
      </c>
      <c r="G65" s="35">
        <f t="shared" si="82"/>
        <v>0.5</v>
      </c>
      <c r="H65" s="9" t="s">
        <v>31</v>
      </c>
      <c r="I65" s="9">
        <f t="shared" si="83"/>
        <v>0.5</v>
      </c>
      <c r="J65" s="9">
        <f t="shared" si="89"/>
        <v>0.5</v>
      </c>
    </row>
    <row r="66" ht="54">
      <c r="A66" s="38" t="s">
        <v>29</v>
      </c>
      <c r="B66" s="39" t="s">
        <v>327</v>
      </c>
      <c r="C66" s="40" t="s">
        <v>356</v>
      </c>
      <c r="D66" s="39" t="s">
        <v>357</v>
      </c>
      <c r="E66" s="40" t="s">
        <v>359</v>
      </c>
      <c r="F66" s="9" t="s">
        <v>140</v>
      </c>
      <c r="G66" s="35">
        <f t="shared" si="82"/>
        <v>0</v>
      </c>
      <c r="H66" s="9" t="s">
        <v>140</v>
      </c>
      <c r="I66" s="9">
        <f t="shared" si="83"/>
        <v>0</v>
      </c>
      <c r="J66" s="9">
        <f t="shared" si="89"/>
        <v>0</v>
      </c>
    </row>
    <row r="67" ht="72">
      <c r="A67" s="38" t="s">
        <v>29</v>
      </c>
      <c r="B67" s="39" t="s">
        <v>327</v>
      </c>
      <c r="C67" s="40" t="s">
        <v>356</v>
      </c>
      <c r="D67" s="39" t="s">
        <v>357</v>
      </c>
      <c r="E67" s="40" t="s">
        <v>360</v>
      </c>
      <c r="F67" s="9" t="s">
        <v>140</v>
      </c>
      <c r="G67" s="35">
        <f t="shared" ref="G67:G130" si="90">IF(F67="Cumple",1,IF(F67="Cumple Parcialmente",0.5,IF(F67="No Cumple",0,"")))</f>
        <v>0</v>
      </c>
      <c r="H67" s="9" t="s">
        <v>140</v>
      </c>
      <c r="I67" s="9">
        <f t="shared" ref="I67:I130" si="91">IF(H67="Cumple",1,IF(H67="Cumple Parcialmente",0.5,IF(H67="No Cumple",0,"")))</f>
        <v>0</v>
      </c>
      <c r="J67" s="9">
        <f t="shared" si="89"/>
        <v>0</v>
      </c>
    </row>
    <row r="68" ht="72">
      <c r="A68" s="38" t="s">
        <v>29</v>
      </c>
      <c r="B68" s="39" t="s">
        <v>327</v>
      </c>
      <c r="C68" s="40" t="s">
        <v>356</v>
      </c>
      <c r="D68" s="39" t="s">
        <v>357</v>
      </c>
      <c r="E68" s="40" t="s">
        <v>361</v>
      </c>
      <c r="F68" s="9" t="s">
        <v>140</v>
      </c>
      <c r="G68" s="35">
        <f t="shared" si="90"/>
        <v>0</v>
      </c>
      <c r="H68" s="9" t="s">
        <v>140</v>
      </c>
      <c r="I68" s="9">
        <f t="shared" si="91"/>
        <v>0</v>
      </c>
      <c r="J68" s="9">
        <f t="shared" si="89"/>
        <v>0</v>
      </c>
    </row>
    <row r="69" ht="54">
      <c r="A69" s="38" t="s">
        <v>32</v>
      </c>
      <c r="B69" s="25" t="s">
        <v>327</v>
      </c>
      <c r="C69" s="26" t="s">
        <v>328</v>
      </c>
      <c r="D69" s="25" t="s">
        <v>329</v>
      </c>
      <c r="E69" s="26" t="s">
        <v>330</v>
      </c>
      <c r="F69" s="34" t="s">
        <v>53</v>
      </c>
      <c r="G69" s="35">
        <f t="shared" si="90"/>
        <v>0</v>
      </c>
      <c r="H69" s="9" t="s">
        <v>140</v>
      </c>
      <c r="I69" s="9">
        <f t="shared" si="91"/>
        <v>0</v>
      </c>
      <c r="J69" s="9">
        <f t="shared" si="89"/>
        <v>0</v>
      </c>
    </row>
    <row r="70" ht="54">
      <c r="A70" s="38" t="s">
        <v>32</v>
      </c>
      <c r="B70" s="39" t="s">
        <v>327</v>
      </c>
      <c r="C70" s="40" t="s">
        <v>328</v>
      </c>
      <c r="D70" s="39" t="s">
        <v>329</v>
      </c>
      <c r="E70" s="40" t="s">
        <v>331</v>
      </c>
      <c r="F70" s="34" t="s">
        <v>22</v>
      </c>
      <c r="G70" s="35">
        <f t="shared" si="90"/>
        <v>1</v>
      </c>
      <c r="H70" s="9" t="s">
        <v>31</v>
      </c>
      <c r="I70" s="9">
        <f t="shared" si="91"/>
        <v>0.5</v>
      </c>
      <c r="J70" s="9">
        <f t="shared" si="89"/>
        <v>0.75</v>
      </c>
    </row>
    <row r="71" ht="54">
      <c r="A71" s="38" t="s">
        <v>32</v>
      </c>
      <c r="B71" s="39" t="s">
        <v>327</v>
      </c>
      <c r="C71" s="40" t="s">
        <v>328</v>
      </c>
      <c r="D71" s="39" t="s">
        <v>329</v>
      </c>
      <c r="E71" s="40" t="s">
        <v>332</v>
      </c>
      <c r="F71" s="34" t="s">
        <v>22</v>
      </c>
      <c r="G71" s="35">
        <f t="shared" si="90"/>
        <v>1</v>
      </c>
      <c r="H71" s="9" t="s">
        <v>22</v>
      </c>
      <c r="I71" s="9">
        <f t="shared" si="91"/>
        <v>1</v>
      </c>
      <c r="J71" s="9">
        <f t="shared" si="89"/>
        <v>1</v>
      </c>
    </row>
    <row r="72" ht="54">
      <c r="A72" s="38" t="s">
        <v>32</v>
      </c>
      <c r="B72" s="39" t="s">
        <v>327</v>
      </c>
      <c r="C72" s="40" t="s">
        <v>328</v>
      </c>
      <c r="D72" s="39" t="s">
        <v>329</v>
      </c>
      <c r="E72" s="40" t="s">
        <v>333</v>
      </c>
      <c r="F72" s="34" t="s">
        <v>22</v>
      </c>
      <c r="G72" s="35">
        <f t="shared" si="90"/>
        <v>1</v>
      </c>
      <c r="H72" s="9" t="s">
        <v>22</v>
      </c>
      <c r="I72" s="9">
        <f t="shared" si="91"/>
        <v>1</v>
      </c>
      <c r="J72" s="9">
        <f t="shared" si="89"/>
        <v>1</v>
      </c>
    </row>
    <row r="73" ht="54">
      <c r="A73" s="38" t="s">
        <v>32</v>
      </c>
      <c r="B73" s="39" t="s">
        <v>327</v>
      </c>
      <c r="C73" s="40" t="s">
        <v>334</v>
      </c>
      <c r="D73" s="39" t="s">
        <v>335</v>
      </c>
      <c r="E73" s="40" t="s">
        <v>336</v>
      </c>
      <c r="F73" s="34" t="s">
        <v>22</v>
      </c>
      <c r="G73" s="35">
        <f t="shared" si="90"/>
        <v>1</v>
      </c>
      <c r="H73" s="9" t="s">
        <v>22</v>
      </c>
      <c r="I73" s="9">
        <f t="shared" si="91"/>
        <v>1</v>
      </c>
      <c r="J73" s="9">
        <f t="shared" si="89"/>
        <v>1</v>
      </c>
    </row>
    <row r="74" ht="72">
      <c r="A74" s="38" t="s">
        <v>32</v>
      </c>
      <c r="B74" s="39" t="s">
        <v>327</v>
      </c>
      <c r="C74" s="40" t="s">
        <v>334</v>
      </c>
      <c r="D74" s="39" t="s">
        <v>335</v>
      </c>
      <c r="E74" s="40" t="s">
        <v>337</v>
      </c>
      <c r="F74" s="9" t="s">
        <v>31</v>
      </c>
      <c r="G74" s="35">
        <f t="shared" si="90"/>
        <v>0.5</v>
      </c>
      <c r="H74" s="9" t="s">
        <v>31</v>
      </c>
      <c r="I74" s="9">
        <f t="shared" si="91"/>
        <v>0.5</v>
      </c>
      <c r="J74" s="9">
        <f t="shared" si="89"/>
        <v>0.5</v>
      </c>
    </row>
    <row r="75" ht="54">
      <c r="A75" s="38" t="s">
        <v>32</v>
      </c>
      <c r="B75" s="39" t="s">
        <v>327</v>
      </c>
      <c r="C75" s="40" t="s">
        <v>334</v>
      </c>
      <c r="D75" s="39" t="s">
        <v>335</v>
      </c>
      <c r="E75" s="40" t="s">
        <v>338</v>
      </c>
      <c r="F75" s="9" t="s">
        <v>31</v>
      </c>
      <c r="G75" s="35">
        <f t="shared" si="90"/>
        <v>0.5</v>
      </c>
      <c r="H75" s="9" t="s">
        <v>31</v>
      </c>
      <c r="I75" s="9">
        <f t="shared" si="91"/>
        <v>0.5</v>
      </c>
      <c r="J75" s="9">
        <f t="shared" si="89"/>
        <v>0.5</v>
      </c>
    </row>
    <row r="76" ht="108">
      <c r="A76" s="38" t="s">
        <v>32</v>
      </c>
      <c r="B76" s="39" t="s">
        <v>327</v>
      </c>
      <c r="C76" s="40" t="s">
        <v>339</v>
      </c>
      <c r="D76" s="39" t="s">
        <v>340</v>
      </c>
      <c r="E76" s="40" t="s">
        <v>341</v>
      </c>
      <c r="F76" s="9" t="s">
        <v>31</v>
      </c>
      <c r="G76" s="35">
        <f t="shared" si="90"/>
        <v>0.5</v>
      </c>
      <c r="H76" s="9" t="s">
        <v>31</v>
      </c>
      <c r="I76" s="9">
        <f t="shared" si="91"/>
        <v>0.5</v>
      </c>
      <c r="J76" s="9">
        <f t="shared" si="89"/>
        <v>0.5</v>
      </c>
    </row>
    <row r="77" ht="72">
      <c r="A77" s="38" t="s">
        <v>32</v>
      </c>
      <c r="B77" s="39" t="s">
        <v>327</v>
      </c>
      <c r="C77" s="40" t="s">
        <v>339</v>
      </c>
      <c r="D77" s="39" t="s">
        <v>340</v>
      </c>
      <c r="E77" s="40" t="s">
        <v>342</v>
      </c>
      <c r="F77" s="9" t="s">
        <v>22</v>
      </c>
      <c r="G77" s="35">
        <f t="shared" si="90"/>
        <v>1</v>
      </c>
      <c r="H77" s="9" t="s">
        <v>22</v>
      </c>
      <c r="I77" s="9">
        <f t="shared" si="91"/>
        <v>1</v>
      </c>
      <c r="J77" s="9">
        <f t="shared" si="89"/>
        <v>1</v>
      </c>
    </row>
    <row r="78" ht="90">
      <c r="A78" s="38" t="s">
        <v>32</v>
      </c>
      <c r="B78" s="39" t="s">
        <v>327</v>
      </c>
      <c r="C78" s="40" t="s">
        <v>339</v>
      </c>
      <c r="D78" s="39" t="s">
        <v>340</v>
      </c>
      <c r="E78" s="40" t="s">
        <v>343</v>
      </c>
      <c r="F78" s="9" t="s">
        <v>140</v>
      </c>
      <c r="G78" s="35">
        <f t="shared" si="90"/>
        <v>0</v>
      </c>
      <c r="H78" s="9" t="s">
        <v>140</v>
      </c>
      <c r="I78" s="9">
        <f t="shared" si="91"/>
        <v>0</v>
      </c>
      <c r="J78" s="9">
        <f t="shared" si="89"/>
        <v>0</v>
      </c>
    </row>
    <row r="79" ht="54">
      <c r="A79" s="38" t="s">
        <v>32</v>
      </c>
      <c r="B79" s="39" t="s">
        <v>327</v>
      </c>
      <c r="C79" s="40" t="s">
        <v>344</v>
      </c>
      <c r="D79" s="39" t="s">
        <v>345</v>
      </c>
      <c r="E79" s="40" t="s">
        <v>346</v>
      </c>
      <c r="F79" s="9" t="s">
        <v>22</v>
      </c>
      <c r="G79" s="35">
        <f t="shared" si="90"/>
        <v>1</v>
      </c>
      <c r="H79" s="9" t="s">
        <v>22</v>
      </c>
      <c r="I79" s="9">
        <f t="shared" si="91"/>
        <v>1</v>
      </c>
      <c r="J79" s="9">
        <f t="shared" si="89"/>
        <v>1</v>
      </c>
    </row>
    <row r="80" ht="90">
      <c r="A80" s="38" t="s">
        <v>32</v>
      </c>
      <c r="B80" s="39" t="s">
        <v>327</v>
      </c>
      <c r="C80" s="40" t="s">
        <v>344</v>
      </c>
      <c r="D80" s="39" t="s">
        <v>345</v>
      </c>
      <c r="E80" s="40" t="s">
        <v>347</v>
      </c>
      <c r="F80" s="9" t="s">
        <v>22</v>
      </c>
      <c r="G80" s="35">
        <f t="shared" si="90"/>
        <v>1</v>
      </c>
      <c r="H80" s="9" t="s">
        <v>22</v>
      </c>
      <c r="I80" s="9">
        <f t="shared" si="91"/>
        <v>1</v>
      </c>
      <c r="J80" s="9">
        <f t="shared" si="89"/>
        <v>1</v>
      </c>
    </row>
    <row r="81" ht="90">
      <c r="A81" s="38" t="s">
        <v>32</v>
      </c>
      <c r="B81" s="39" t="s">
        <v>327</v>
      </c>
      <c r="C81" s="40" t="s">
        <v>344</v>
      </c>
      <c r="D81" s="39" t="s">
        <v>345</v>
      </c>
      <c r="E81" s="40" t="s">
        <v>348</v>
      </c>
      <c r="F81" s="9" t="s">
        <v>31</v>
      </c>
      <c r="G81" s="35">
        <f t="shared" si="90"/>
        <v>0.5</v>
      </c>
      <c r="H81" s="9" t="s">
        <v>31</v>
      </c>
      <c r="I81" s="9">
        <f t="shared" si="91"/>
        <v>0.5</v>
      </c>
      <c r="J81" s="9">
        <f t="shared" si="89"/>
        <v>0.5</v>
      </c>
    </row>
    <row r="82" ht="54">
      <c r="A82" s="38" t="s">
        <v>32</v>
      </c>
      <c r="B82" s="39" t="s">
        <v>327</v>
      </c>
      <c r="C82" s="40" t="s">
        <v>344</v>
      </c>
      <c r="D82" s="39" t="s">
        <v>345</v>
      </c>
      <c r="E82" s="40" t="s">
        <v>349</v>
      </c>
      <c r="F82" s="9" t="s">
        <v>31</v>
      </c>
      <c r="G82" s="35">
        <f t="shared" si="90"/>
        <v>0.5</v>
      </c>
      <c r="H82" s="9" t="s">
        <v>31</v>
      </c>
      <c r="I82" s="9">
        <f t="shared" si="91"/>
        <v>0.5</v>
      </c>
      <c r="J82" s="9">
        <f t="shared" si="89"/>
        <v>0.5</v>
      </c>
    </row>
    <row r="83" ht="72">
      <c r="A83" s="38" t="s">
        <v>32</v>
      </c>
      <c r="B83" s="39" t="s">
        <v>327</v>
      </c>
      <c r="C83" s="40" t="s">
        <v>350</v>
      </c>
      <c r="D83" s="39" t="s">
        <v>351</v>
      </c>
      <c r="E83" s="40" t="s">
        <v>352</v>
      </c>
      <c r="F83" s="9" t="s">
        <v>22</v>
      </c>
      <c r="G83" s="35">
        <f t="shared" si="90"/>
        <v>1</v>
      </c>
      <c r="H83" s="9" t="s">
        <v>22</v>
      </c>
      <c r="I83" s="9">
        <f t="shared" si="91"/>
        <v>1</v>
      </c>
      <c r="J83" s="9">
        <f t="shared" si="89"/>
        <v>1</v>
      </c>
    </row>
    <row r="84" ht="72">
      <c r="A84" s="38" t="s">
        <v>32</v>
      </c>
      <c r="B84" s="39" t="s">
        <v>327</v>
      </c>
      <c r="C84" s="40" t="s">
        <v>350</v>
      </c>
      <c r="D84" s="39" t="s">
        <v>351</v>
      </c>
      <c r="E84" s="40" t="s">
        <v>353</v>
      </c>
      <c r="F84" s="9" t="s">
        <v>31</v>
      </c>
      <c r="G84" s="35">
        <f t="shared" si="90"/>
        <v>0.5</v>
      </c>
      <c r="H84" s="9" t="s">
        <v>31</v>
      </c>
      <c r="I84" s="9">
        <f t="shared" si="91"/>
        <v>0.5</v>
      </c>
      <c r="J84" s="9">
        <f t="shared" si="89"/>
        <v>0.5</v>
      </c>
    </row>
    <row r="85" ht="90">
      <c r="A85" s="38" t="s">
        <v>32</v>
      </c>
      <c r="B85" s="39" t="s">
        <v>327</v>
      </c>
      <c r="C85" s="40" t="s">
        <v>350</v>
      </c>
      <c r="D85" s="39" t="s">
        <v>351</v>
      </c>
      <c r="E85" s="40" t="s">
        <v>354</v>
      </c>
      <c r="F85" s="9" t="s">
        <v>31</v>
      </c>
      <c r="G85" s="35">
        <f t="shared" si="90"/>
        <v>0.5</v>
      </c>
      <c r="H85" s="9" t="s">
        <v>31</v>
      </c>
      <c r="I85" s="9">
        <f t="shared" si="91"/>
        <v>0.5</v>
      </c>
      <c r="J85" s="9">
        <f t="shared" si="89"/>
        <v>0.5</v>
      </c>
    </row>
    <row r="86" ht="54">
      <c r="A86" s="38" t="s">
        <v>32</v>
      </c>
      <c r="B86" s="39" t="s">
        <v>327</v>
      </c>
      <c r="C86" s="40" t="s">
        <v>350</v>
      </c>
      <c r="D86" s="39" t="s">
        <v>351</v>
      </c>
      <c r="E86" s="40" t="s">
        <v>355</v>
      </c>
      <c r="F86" s="9" t="s">
        <v>31</v>
      </c>
      <c r="G86" s="35">
        <f t="shared" si="90"/>
        <v>0.5</v>
      </c>
      <c r="H86" s="9" t="s">
        <v>31</v>
      </c>
      <c r="I86" s="9">
        <f t="shared" si="91"/>
        <v>0.5</v>
      </c>
      <c r="J86" s="9">
        <f t="shared" si="89"/>
        <v>0.5</v>
      </c>
    </row>
    <row r="87" ht="54">
      <c r="A87" s="38" t="s">
        <v>32</v>
      </c>
      <c r="B87" s="39" t="s">
        <v>327</v>
      </c>
      <c r="C87" s="40" t="s">
        <v>356</v>
      </c>
      <c r="D87" s="39" t="s">
        <v>357</v>
      </c>
      <c r="E87" s="40" t="s">
        <v>358</v>
      </c>
      <c r="F87" s="9" t="s">
        <v>31</v>
      </c>
      <c r="G87" s="35">
        <f t="shared" si="90"/>
        <v>0.5</v>
      </c>
      <c r="H87" s="9" t="s">
        <v>31</v>
      </c>
      <c r="I87" s="9">
        <f t="shared" si="91"/>
        <v>0.5</v>
      </c>
      <c r="J87" s="9">
        <f t="shared" si="89"/>
        <v>0.5</v>
      </c>
    </row>
    <row r="88" ht="54">
      <c r="A88" s="38" t="s">
        <v>32</v>
      </c>
      <c r="B88" s="39" t="s">
        <v>327</v>
      </c>
      <c r="C88" s="40" t="s">
        <v>356</v>
      </c>
      <c r="D88" s="39" t="s">
        <v>357</v>
      </c>
      <c r="E88" s="40" t="s">
        <v>359</v>
      </c>
      <c r="F88" s="9" t="s">
        <v>140</v>
      </c>
      <c r="G88" s="35">
        <f t="shared" si="90"/>
        <v>0</v>
      </c>
      <c r="H88" s="9" t="s">
        <v>140</v>
      </c>
      <c r="I88" s="9">
        <f t="shared" si="91"/>
        <v>0</v>
      </c>
      <c r="J88" s="9">
        <f t="shared" si="89"/>
        <v>0</v>
      </c>
    </row>
    <row r="89" ht="72">
      <c r="A89" s="38" t="s">
        <v>32</v>
      </c>
      <c r="B89" s="39" t="s">
        <v>327</v>
      </c>
      <c r="C89" s="40" t="s">
        <v>356</v>
      </c>
      <c r="D89" s="39" t="s">
        <v>357</v>
      </c>
      <c r="E89" s="40" t="s">
        <v>360</v>
      </c>
      <c r="F89" s="9" t="s">
        <v>140</v>
      </c>
      <c r="G89" s="35">
        <f t="shared" si="90"/>
        <v>0</v>
      </c>
      <c r="H89" s="9" t="s">
        <v>140</v>
      </c>
      <c r="I89" s="9">
        <f t="shared" si="91"/>
        <v>0</v>
      </c>
      <c r="J89" s="9">
        <f t="shared" si="89"/>
        <v>0</v>
      </c>
    </row>
    <row r="90" ht="72">
      <c r="A90" s="38" t="s">
        <v>32</v>
      </c>
      <c r="B90" s="39" t="s">
        <v>327</v>
      </c>
      <c r="C90" s="40" t="s">
        <v>356</v>
      </c>
      <c r="D90" s="39" t="s">
        <v>357</v>
      </c>
      <c r="E90" s="40" t="s">
        <v>361</v>
      </c>
      <c r="F90" s="9" t="s">
        <v>140</v>
      </c>
      <c r="G90" s="35">
        <f t="shared" si="90"/>
        <v>0</v>
      </c>
      <c r="H90" s="9" t="s">
        <v>140</v>
      </c>
      <c r="I90" s="9">
        <f t="shared" si="91"/>
        <v>0</v>
      </c>
      <c r="J90" s="9">
        <f t="shared" si="89"/>
        <v>0</v>
      </c>
    </row>
    <row r="91" ht="54">
      <c r="A91" s="38" t="s">
        <v>36</v>
      </c>
      <c r="B91" s="25" t="s">
        <v>327</v>
      </c>
      <c r="C91" s="26" t="s">
        <v>328</v>
      </c>
      <c r="D91" s="25" t="s">
        <v>329</v>
      </c>
      <c r="E91" s="26" t="s">
        <v>330</v>
      </c>
      <c r="F91" s="9" t="s">
        <v>31</v>
      </c>
      <c r="G91" s="35">
        <f t="shared" si="90"/>
        <v>0.5</v>
      </c>
      <c r="H91" s="9" t="s">
        <v>31</v>
      </c>
      <c r="I91" s="9">
        <f t="shared" si="91"/>
        <v>0.5</v>
      </c>
      <c r="J91" s="9">
        <f t="shared" si="89"/>
        <v>0.5</v>
      </c>
    </row>
    <row r="92" ht="54">
      <c r="A92" s="38" t="s">
        <v>36</v>
      </c>
      <c r="B92" s="39" t="s">
        <v>327</v>
      </c>
      <c r="C92" s="40" t="s">
        <v>328</v>
      </c>
      <c r="D92" s="39" t="s">
        <v>329</v>
      </c>
      <c r="E92" s="40" t="s">
        <v>331</v>
      </c>
      <c r="F92" s="9" t="s">
        <v>31</v>
      </c>
      <c r="G92" s="35">
        <f t="shared" si="90"/>
        <v>0.5</v>
      </c>
      <c r="H92" s="9" t="s">
        <v>31</v>
      </c>
      <c r="I92" s="9">
        <f t="shared" si="91"/>
        <v>0.5</v>
      </c>
      <c r="J92" s="9">
        <f t="shared" si="89"/>
        <v>0.5</v>
      </c>
    </row>
    <row r="93" ht="54">
      <c r="A93" s="38" t="s">
        <v>36</v>
      </c>
      <c r="B93" s="39" t="s">
        <v>327</v>
      </c>
      <c r="C93" s="40" t="s">
        <v>328</v>
      </c>
      <c r="D93" s="39" t="s">
        <v>329</v>
      </c>
      <c r="E93" s="40" t="s">
        <v>332</v>
      </c>
      <c r="F93" s="9" t="s">
        <v>31</v>
      </c>
      <c r="G93" s="35">
        <f t="shared" si="90"/>
        <v>0.5</v>
      </c>
      <c r="H93" s="9" t="s">
        <v>22</v>
      </c>
      <c r="I93" s="9">
        <f t="shared" si="91"/>
        <v>1</v>
      </c>
      <c r="J93" s="9">
        <f t="shared" si="89"/>
        <v>0.75</v>
      </c>
    </row>
    <row r="94" ht="54">
      <c r="A94" s="38" t="s">
        <v>36</v>
      </c>
      <c r="B94" s="39" t="s">
        <v>327</v>
      </c>
      <c r="C94" s="40" t="s">
        <v>328</v>
      </c>
      <c r="D94" s="39" t="s">
        <v>329</v>
      </c>
      <c r="E94" s="40" t="s">
        <v>333</v>
      </c>
      <c r="F94" s="9" t="s">
        <v>22</v>
      </c>
      <c r="G94" s="35">
        <f t="shared" si="90"/>
        <v>1</v>
      </c>
      <c r="H94" s="9" t="s">
        <v>22</v>
      </c>
      <c r="I94" s="9">
        <f t="shared" si="91"/>
        <v>1</v>
      </c>
      <c r="J94" s="9">
        <f t="shared" si="89"/>
        <v>1</v>
      </c>
    </row>
    <row r="95" ht="54">
      <c r="A95" s="38" t="s">
        <v>36</v>
      </c>
      <c r="B95" s="39" t="s">
        <v>327</v>
      </c>
      <c r="C95" s="40" t="s">
        <v>334</v>
      </c>
      <c r="D95" s="39" t="s">
        <v>335</v>
      </c>
      <c r="E95" s="40" t="s">
        <v>336</v>
      </c>
      <c r="F95" s="9" t="s">
        <v>22</v>
      </c>
      <c r="G95" s="35">
        <f t="shared" si="90"/>
        <v>1</v>
      </c>
      <c r="H95" s="9" t="s">
        <v>22</v>
      </c>
      <c r="I95" s="9">
        <f t="shared" si="91"/>
        <v>1</v>
      </c>
      <c r="J95" s="9">
        <f t="shared" si="89"/>
        <v>1</v>
      </c>
    </row>
    <row r="96" ht="72">
      <c r="A96" s="38" t="s">
        <v>36</v>
      </c>
      <c r="B96" s="39" t="s">
        <v>327</v>
      </c>
      <c r="C96" s="40" t="s">
        <v>334</v>
      </c>
      <c r="D96" s="39" t="s">
        <v>335</v>
      </c>
      <c r="E96" s="40" t="s">
        <v>337</v>
      </c>
      <c r="F96" s="9" t="s">
        <v>22</v>
      </c>
      <c r="G96" s="35">
        <f t="shared" si="90"/>
        <v>1</v>
      </c>
      <c r="H96" s="9" t="s">
        <v>22</v>
      </c>
      <c r="I96" s="9">
        <f t="shared" si="91"/>
        <v>1</v>
      </c>
      <c r="J96" s="9">
        <f t="shared" si="89"/>
        <v>1</v>
      </c>
    </row>
    <row r="97" ht="54">
      <c r="A97" s="38" t="s">
        <v>36</v>
      </c>
      <c r="B97" s="39" t="s">
        <v>327</v>
      </c>
      <c r="C97" s="40" t="s">
        <v>334</v>
      </c>
      <c r="D97" s="39" t="s">
        <v>335</v>
      </c>
      <c r="E97" s="40" t="s">
        <v>338</v>
      </c>
      <c r="F97" s="9" t="s">
        <v>31</v>
      </c>
      <c r="G97" s="35">
        <f t="shared" si="90"/>
        <v>0.5</v>
      </c>
      <c r="H97" s="9" t="s">
        <v>31</v>
      </c>
      <c r="I97" s="9">
        <f t="shared" si="91"/>
        <v>0.5</v>
      </c>
      <c r="J97" s="9">
        <f t="shared" si="89"/>
        <v>0.5</v>
      </c>
    </row>
    <row r="98" ht="108">
      <c r="A98" s="38" t="s">
        <v>36</v>
      </c>
      <c r="B98" s="39" t="s">
        <v>327</v>
      </c>
      <c r="C98" s="40" t="s">
        <v>339</v>
      </c>
      <c r="D98" s="39" t="s">
        <v>340</v>
      </c>
      <c r="E98" s="40" t="s">
        <v>341</v>
      </c>
      <c r="F98" s="9" t="s">
        <v>31</v>
      </c>
      <c r="G98" s="35">
        <f t="shared" si="90"/>
        <v>0.5</v>
      </c>
      <c r="H98" s="9" t="s">
        <v>31</v>
      </c>
      <c r="I98" s="9">
        <f t="shared" si="91"/>
        <v>0.5</v>
      </c>
      <c r="J98" s="9">
        <f t="shared" si="89"/>
        <v>0.5</v>
      </c>
    </row>
    <row r="99" ht="72">
      <c r="A99" s="38" t="s">
        <v>36</v>
      </c>
      <c r="B99" s="39" t="s">
        <v>327</v>
      </c>
      <c r="C99" s="40" t="s">
        <v>339</v>
      </c>
      <c r="D99" s="39" t="s">
        <v>340</v>
      </c>
      <c r="E99" s="40" t="s">
        <v>342</v>
      </c>
      <c r="F99" s="9" t="s">
        <v>22</v>
      </c>
      <c r="G99" s="35">
        <f t="shared" si="90"/>
        <v>1</v>
      </c>
      <c r="H99" s="9" t="s">
        <v>22</v>
      </c>
      <c r="I99" s="9">
        <f t="shared" si="91"/>
        <v>1</v>
      </c>
      <c r="J99" s="9">
        <f t="shared" ref="J99:J130" si="92">AVERAGE(G99,I99)</f>
        <v>1</v>
      </c>
    </row>
    <row r="100" ht="90">
      <c r="A100" s="38" t="s">
        <v>36</v>
      </c>
      <c r="B100" s="39" t="s">
        <v>327</v>
      </c>
      <c r="C100" s="40" t="s">
        <v>339</v>
      </c>
      <c r="D100" s="39" t="s">
        <v>340</v>
      </c>
      <c r="E100" s="40" t="s">
        <v>343</v>
      </c>
      <c r="F100" s="9" t="s">
        <v>140</v>
      </c>
      <c r="G100" s="35">
        <f t="shared" si="90"/>
        <v>0</v>
      </c>
      <c r="H100" s="9" t="s">
        <v>140</v>
      </c>
      <c r="I100" s="9">
        <f t="shared" si="91"/>
        <v>0</v>
      </c>
      <c r="J100" s="9">
        <f t="shared" si="92"/>
        <v>0</v>
      </c>
    </row>
    <row r="101" ht="54">
      <c r="A101" s="38" t="s">
        <v>36</v>
      </c>
      <c r="B101" s="39" t="s">
        <v>327</v>
      </c>
      <c r="C101" s="40" t="s">
        <v>344</v>
      </c>
      <c r="D101" s="39" t="s">
        <v>345</v>
      </c>
      <c r="E101" s="40" t="s">
        <v>346</v>
      </c>
      <c r="F101" s="9" t="s">
        <v>22</v>
      </c>
      <c r="G101" s="35">
        <f t="shared" si="90"/>
        <v>1</v>
      </c>
      <c r="H101" s="9" t="s">
        <v>22</v>
      </c>
      <c r="I101" s="9">
        <f t="shared" si="91"/>
        <v>1</v>
      </c>
      <c r="J101" s="9">
        <f t="shared" si="92"/>
        <v>1</v>
      </c>
    </row>
    <row r="102" ht="90">
      <c r="A102" s="38" t="s">
        <v>36</v>
      </c>
      <c r="B102" s="39" t="s">
        <v>327</v>
      </c>
      <c r="C102" s="40" t="s">
        <v>344</v>
      </c>
      <c r="D102" s="39" t="s">
        <v>345</v>
      </c>
      <c r="E102" s="40" t="s">
        <v>347</v>
      </c>
      <c r="F102" s="9" t="s">
        <v>31</v>
      </c>
      <c r="G102" s="35">
        <f t="shared" si="90"/>
        <v>0.5</v>
      </c>
      <c r="H102" s="9" t="s">
        <v>31</v>
      </c>
      <c r="I102" s="9">
        <f t="shared" si="91"/>
        <v>0.5</v>
      </c>
      <c r="J102" s="9">
        <f t="shared" si="92"/>
        <v>0.5</v>
      </c>
    </row>
    <row r="103" ht="90">
      <c r="A103" s="38" t="s">
        <v>36</v>
      </c>
      <c r="B103" s="39" t="s">
        <v>327</v>
      </c>
      <c r="C103" s="40" t="s">
        <v>344</v>
      </c>
      <c r="D103" s="39" t="s">
        <v>345</v>
      </c>
      <c r="E103" s="40" t="s">
        <v>348</v>
      </c>
      <c r="F103" s="9" t="s">
        <v>31</v>
      </c>
      <c r="G103" s="35">
        <f t="shared" si="90"/>
        <v>0.5</v>
      </c>
      <c r="H103" s="9" t="s">
        <v>31</v>
      </c>
      <c r="I103" s="9">
        <f t="shared" si="91"/>
        <v>0.5</v>
      </c>
      <c r="J103" s="9">
        <f t="shared" si="92"/>
        <v>0.5</v>
      </c>
    </row>
    <row r="104" ht="54">
      <c r="A104" s="38" t="s">
        <v>36</v>
      </c>
      <c r="B104" s="39" t="s">
        <v>327</v>
      </c>
      <c r="C104" s="40" t="s">
        <v>344</v>
      </c>
      <c r="D104" s="39" t="s">
        <v>345</v>
      </c>
      <c r="E104" s="40" t="s">
        <v>349</v>
      </c>
      <c r="F104" s="9" t="s">
        <v>31</v>
      </c>
      <c r="G104" s="35">
        <f t="shared" si="90"/>
        <v>0.5</v>
      </c>
      <c r="H104" s="9" t="s">
        <v>31</v>
      </c>
      <c r="I104" s="9">
        <f t="shared" si="91"/>
        <v>0.5</v>
      </c>
      <c r="J104" s="9">
        <f t="shared" si="92"/>
        <v>0.5</v>
      </c>
    </row>
    <row r="105" ht="72">
      <c r="A105" s="38" t="s">
        <v>36</v>
      </c>
      <c r="B105" s="39" t="s">
        <v>327</v>
      </c>
      <c r="C105" s="40" t="s">
        <v>350</v>
      </c>
      <c r="D105" s="39" t="s">
        <v>351</v>
      </c>
      <c r="E105" s="40" t="s">
        <v>352</v>
      </c>
      <c r="F105" s="9" t="s">
        <v>22</v>
      </c>
      <c r="G105" s="35">
        <f t="shared" si="90"/>
        <v>1</v>
      </c>
      <c r="H105" s="9" t="s">
        <v>22</v>
      </c>
      <c r="I105" s="9">
        <f t="shared" si="91"/>
        <v>1</v>
      </c>
      <c r="J105" s="9">
        <f t="shared" si="92"/>
        <v>1</v>
      </c>
    </row>
    <row r="106" ht="72">
      <c r="A106" s="38" t="s">
        <v>36</v>
      </c>
      <c r="B106" s="39" t="s">
        <v>327</v>
      </c>
      <c r="C106" s="40" t="s">
        <v>350</v>
      </c>
      <c r="D106" s="39" t="s">
        <v>351</v>
      </c>
      <c r="E106" s="40" t="s">
        <v>353</v>
      </c>
      <c r="F106" s="9" t="s">
        <v>22</v>
      </c>
      <c r="G106" s="35">
        <f t="shared" si="90"/>
        <v>1</v>
      </c>
      <c r="H106" s="9" t="s">
        <v>22</v>
      </c>
      <c r="I106" s="9">
        <f t="shared" si="91"/>
        <v>1</v>
      </c>
      <c r="J106" s="9">
        <f t="shared" si="92"/>
        <v>1</v>
      </c>
    </row>
    <row r="107" ht="90">
      <c r="A107" s="38" t="s">
        <v>36</v>
      </c>
      <c r="B107" s="39" t="s">
        <v>327</v>
      </c>
      <c r="C107" s="40" t="s">
        <v>350</v>
      </c>
      <c r="D107" s="39" t="s">
        <v>351</v>
      </c>
      <c r="E107" s="40" t="s">
        <v>354</v>
      </c>
      <c r="F107" s="9" t="s">
        <v>22</v>
      </c>
      <c r="G107" s="35">
        <f t="shared" si="90"/>
        <v>1</v>
      </c>
      <c r="H107" s="9" t="s">
        <v>22</v>
      </c>
      <c r="I107" s="9">
        <f t="shared" si="91"/>
        <v>1</v>
      </c>
      <c r="J107" s="9">
        <f t="shared" si="92"/>
        <v>1</v>
      </c>
    </row>
    <row r="108" ht="54">
      <c r="A108" s="38" t="s">
        <v>36</v>
      </c>
      <c r="B108" s="39" t="s">
        <v>327</v>
      </c>
      <c r="C108" s="40" t="s">
        <v>350</v>
      </c>
      <c r="D108" s="39" t="s">
        <v>351</v>
      </c>
      <c r="E108" s="40" t="s">
        <v>355</v>
      </c>
      <c r="F108" s="9" t="s">
        <v>22</v>
      </c>
      <c r="G108" s="35">
        <f t="shared" si="90"/>
        <v>1</v>
      </c>
      <c r="H108" s="9" t="s">
        <v>22</v>
      </c>
      <c r="I108" s="9">
        <f t="shared" si="91"/>
        <v>1</v>
      </c>
      <c r="J108" s="9">
        <f t="shared" si="92"/>
        <v>1</v>
      </c>
    </row>
    <row r="109" ht="54">
      <c r="A109" s="38" t="s">
        <v>36</v>
      </c>
      <c r="B109" s="39" t="s">
        <v>327</v>
      </c>
      <c r="C109" s="40" t="s">
        <v>356</v>
      </c>
      <c r="D109" s="39" t="s">
        <v>357</v>
      </c>
      <c r="E109" s="40" t="s">
        <v>358</v>
      </c>
      <c r="F109" s="9" t="s">
        <v>31</v>
      </c>
      <c r="G109" s="35">
        <f t="shared" si="90"/>
        <v>0.5</v>
      </c>
      <c r="H109" s="9" t="s">
        <v>31</v>
      </c>
      <c r="I109" s="9">
        <f t="shared" si="91"/>
        <v>0.5</v>
      </c>
      <c r="J109" s="9">
        <f t="shared" si="92"/>
        <v>0.5</v>
      </c>
    </row>
    <row r="110" ht="54">
      <c r="A110" s="38" t="s">
        <v>36</v>
      </c>
      <c r="B110" s="39" t="s">
        <v>327</v>
      </c>
      <c r="C110" s="40" t="s">
        <v>356</v>
      </c>
      <c r="D110" s="39" t="s">
        <v>357</v>
      </c>
      <c r="E110" s="40" t="s">
        <v>359</v>
      </c>
      <c r="F110" s="9" t="s">
        <v>140</v>
      </c>
      <c r="G110" s="35">
        <f t="shared" si="90"/>
        <v>0</v>
      </c>
      <c r="H110" s="9" t="s">
        <v>140</v>
      </c>
      <c r="I110" s="9">
        <f t="shared" si="91"/>
        <v>0</v>
      </c>
      <c r="J110" s="9">
        <f t="shared" si="92"/>
        <v>0</v>
      </c>
    </row>
    <row r="111" ht="72">
      <c r="A111" s="38" t="s">
        <v>36</v>
      </c>
      <c r="B111" s="39" t="s">
        <v>327</v>
      </c>
      <c r="C111" s="40" t="s">
        <v>356</v>
      </c>
      <c r="D111" s="39" t="s">
        <v>357</v>
      </c>
      <c r="E111" s="40" t="s">
        <v>360</v>
      </c>
      <c r="F111" s="9" t="s">
        <v>140</v>
      </c>
      <c r="G111" s="35">
        <f t="shared" si="90"/>
        <v>0</v>
      </c>
      <c r="H111" s="9" t="s">
        <v>140</v>
      </c>
      <c r="I111" s="9">
        <f t="shared" si="91"/>
        <v>0</v>
      </c>
      <c r="J111" s="9">
        <f t="shared" si="92"/>
        <v>0</v>
      </c>
    </row>
    <row r="112" ht="72">
      <c r="A112" s="38" t="s">
        <v>36</v>
      </c>
      <c r="B112" s="39" t="s">
        <v>327</v>
      </c>
      <c r="C112" s="40" t="s">
        <v>356</v>
      </c>
      <c r="D112" s="39" t="s">
        <v>357</v>
      </c>
      <c r="E112" s="40" t="s">
        <v>361</v>
      </c>
      <c r="F112" s="9" t="s">
        <v>140</v>
      </c>
      <c r="G112" s="35">
        <f t="shared" si="90"/>
        <v>0</v>
      </c>
      <c r="H112" s="9" t="s">
        <v>140</v>
      </c>
      <c r="I112" s="9">
        <f t="shared" si="91"/>
        <v>0</v>
      </c>
      <c r="J112" s="9">
        <f t="shared" si="92"/>
        <v>0</v>
      </c>
    </row>
    <row r="113" ht="54">
      <c r="A113" s="38" t="s">
        <v>38</v>
      </c>
      <c r="B113" s="25" t="s">
        <v>327</v>
      </c>
      <c r="C113" s="26" t="s">
        <v>328</v>
      </c>
      <c r="D113" s="25" t="s">
        <v>329</v>
      </c>
      <c r="E113" s="26" t="s">
        <v>330</v>
      </c>
      <c r="F113" s="9" t="s">
        <v>31</v>
      </c>
      <c r="G113" s="35">
        <f t="shared" si="90"/>
        <v>0.5</v>
      </c>
      <c r="H113" s="9" t="s">
        <v>31</v>
      </c>
      <c r="I113" s="9">
        <f t="shared" si="91"/>
        <v>0.5</v>
      </c>
      <c r="J113" s="9">
        <f t="shared" si="92"/>
        <v>0.5</v>
      </c>
    </row>
    <row r="114" ht="54">
      <c r="A114" s="38" t="s">
        <v>38</v>
      </c>
      <c r="B114" s="39" t="s">
        <v>327</v>
      </c>
      <c r="C114" s="40" t="s">
        <v>328</v>
      </c>
      <c r="D114" s="39" t="s">
        <v>329</v>
      </c>
      <c r="E114" s="40" t="s">
        <v>331</v>
      </c>
      <c r="F114" s="34" t="s">
        <v>53</v>
      </c>
      <c r="G114" s="35">
        <f t="shared" si="90"/>
        <v>0</v>
      </c>
      <c r="H114" s="9" t="s">
        <v>31</v>
      </c>
      <c r="I114" s="9">
        <f t="shared" si="91"/>
        <v>0.5</v>
      </c>
      <c r="J114" s="9">
        <f t="shared" si="92"/>
        <v>0.25</v>
      </c>
    </row>
    <row r="115" ht="54">
      <c r="A115" s="38" t="s">
        <v>38</v>
      </c>
      <c r="B115" s="39" t="s">
        <v>327</v>
      </c>
      <c r="C115" s="40" t="s">
        <v>328</v>
      </c>
      <c r="D115" s="39" t="s">
        <v>329</v>
      </c>
      <c r="E115" s="40" t="s">
        <v>332</v>
      </c>
      <c r="F115" s="34" t="s">
        <v>22</v>
      </c>
      <c r="G115" s="35">
        <f t="shared" si="90"/>
        <v>1</v>
      </c>
      <c r="H115" s="9" t="s">
        <v>22</v>
      </c>
      <c r="I115" s="9">
        <f t="shared" si="91"/>
        <v>1</v>
      </c>
      <c r="J115" s="9">
        <f t="shared" si="92"/>
        <v>1</v>
      </c>
    </row>
    <row r="116" ht="54">
      <c r="A116" s="38" t="s">
        <v>38</v>
      </c>
      <c r="B116" s="39" t="s">
        <v>327</v>
      </c>
      <c r="C116" s="40" t="s">
        <v>328</v>
      </c>
      <c r="D116" s="39" t="s">
        <v>329</v>
      </c>
      <c r="E116" s="40" t="s">
        <v>333</v>
      </c>
      <c r="F116" s="34" t="s">
        <v>22</v>
      </c>
      <c r="G116" s="35">
        <f t="shared" si="90"/>
        <v>1</v>
      </c>
      <c r="H116" s="9" t="s">
        <v>22</v>
      </c>
      <c r="I116" s="9">
        <f t="shared" si="91"/>
        <v>1</v>
      </c>
      <c r="J116" s="9">
        <f t="shared" si="92"/>
        <v>1</v>
      </c>
    </row>
    <row r="117" ht="54">
      <c r="A117" s="38" t="s">
        <v>38</v>
      </c>
      <c r="B117" s="39" t="s">
        <v>327</v>
      </c>
      <c r="C117" s="40" t="s">
        <v>334</v>
      </c>
      <c r="D117" s="39" t="s">
        <v>335</v>
      </c>
      <c r="E117" s="40" t="s">
        <v>336</v>
      </c>
      <c r="F117" s="34" t="s">
        <v>70</v>
      </c>
      <c r="G117" s="35">
        <f t="shared" si="90"/>
        <v>0.5</v>
      </c>
      <c r="H117" s="9" t="s">
        <v>22</v>
      </c>
      <c r="I117" s="9">
        <f t="shared" si="91"/>
        <v>1</v>
      </c>
      <c r="J117" s="9">
        <f t="shared" si="92"/>
        <v>0.75</v>
      </c>
    </row>
    <row r="118" ht="72">
      <c r="A118" s="38" t="s">
        <v>38</v>
      </c>
      <c r="B118" s="39" t="s">
        <v>327</v>
      </c>
      <c r="C118" s="40" t="s">
        <v>334</v>
      </c>
      <c r="D118" s="39" t="s">
        <v>335</v>
      </c>
      <c r="E118" s="40" t="s">
        <v>337</v>
      </c>
      <c r="F118" s="9" t="s">
        <v>31</v>
      </c>
      <c r="G118" s="35">
        <f t="shared" si="90"/>
        <v>0.5</v>
      </c>
      <c r="H118" s="9" t="s">
        <v>31</v>
      </c>
      <c r="I118" s="9">
        <f t="shared" si="91"/>
        <v>0.5</v>
      </c>
      <c r="J118" s="9">
        <f t="shared" si="92"/>
        <v>0.5</v>
      </c>
    </row>
    <row r="119" ht="54">
      <c r="A119" s="38" t="s">
        <v>38</v>
      </c>
      <c r="B119" s="39" t="s">
        <v>327</v>
      </c>
      <c r="C119" s="40" t="s">
        <v>334</v>
      </c>
      <c r="D119" s="39" t="s">
        <v>335</v>
      </c>
      <c r="E119" s="40" t="s">
        <v>338</v>
      </c>
      <c r="F119" s="9" t="s">
        <v>31</v>
      </c>
      <c r="G119" s="35">
        <f t="shared" si="90"/>
        <v>0.5</v>
      </c>
      <c r="H119" s="9" t="s">
        <v>31</v>
      </c>
      <c r="I119" s="9">
        <f t="shared" si="91"/>
        <v>0.5</v>
      </c>
      <c r="J119" s="9">
        <f t="shared" si="92"/>
        <v>0.5</v>
      </c>
    </row>
    <row r="120" ht="108">
      <c r="A120" s="38" t="s">
        <v>38</v>
      </c>
      <c r="B120" s="39" t="s">
        <v>327</v>
      </c>
      <c r="C120" s="40" t="s">
        <v>339</v>
      </c>
      <c r="D120" s="39" t="s">
        <v>340</v>
      </c>
      <c r="E120" s="40" t="s">
        <v>341</v>
      </c>
      <c r="F120" s="9" t="s">
        <v>31</v>
      </c>
      <c r="G120" s="35">
        <f t="shared" si="90"/>
        <v>0.5</v>
      </c>
      <c r="H120" s="9" t="s">
        <v>31</v>
      </c>
      <c r="I120" s="9">
        <f t="shared" si="91"/>
        <v>0.5</v>
      </c>
      <c r="J120" s="9">
        <f t="shared" si="92"/>
        <v>0.5</v>
      </c>
    </row>
    <row r="121" ht="72">
      <c r="A121" s="38" t="s">
        <v>38</v>
      </c>
      <c r="B121" s="39" t="s">
        <v>327</v>
      </c>
      <c r="C121" s="40" t="s">
        <v>339</v>
      </c>
      <c r="D121" s="39" t="s">
        <v>340</v>
      </c>
      <c r="E121" s="40" t="s">
        <v>342</v>
      </c>
      <c r="F121" s="9" t="s">
        <v>22</v>
      </c>
      <c r="G121" s="35">
        <f t="shared" si="90"/>
        <v>1</v>
      </c>
      <c r="H121" s="9" t="s">
        <v>22</v>
      </c>
      <c r="I121" s="9">
        <f t="shared" si="91"/>
        <v>1</v>
      </c>
      <c r="J121" s="9">
        <f t="shared" si="92"/>
        <v>1</v>
      </c>
    </row>
    <row r="122" ht="90">
      <c r="A122" s="38" t="s">
        <v>38</v>
      </c>
      <c r="B122" s="39" t="s">
        <v>327</v>
      </c>
      <c r="C122" s="40" t="s">
        <v>339</v>
      </c>
      <c r="D122" s="39" t="s">
        <v>340</v>
      </c>
      <c r="E122" s="40" t="s">
        <v>343</v>
      </c>
      <c r="F122" s="9" t="s">
        <v>140</v>
      </c>
      <c r="G122" s="35">
        <f t="shared" si="90"/>
        <v>0</v>
      </c>
      <c r="H122" s="9" t="s">
        <v>140</v>
      </c>
      <c r="I122" s="9">
        <f t="shared" si="91"/>
        <v>0</v>
      </c>
      <c r="J122" s="9">
        <f t="shared" si="92"/>
        <v>0</v>
      </c>
    </row>
    <row r="123" ht="54">
      <c r="A123" s="38" t="s">
        <v>38</v>
      </c>
      <c r="B123" s="39" t="s">
        <v>327</v>
      </c>
      <c r="C123" s="40" t="s">
        <v>344</v>
      </c>
      <c r="D123" s="39" t="s">
        <v>345</v>
      </c>
      <c r="E123" s="40" t="s">
        <v>346</v>
      </c>
      <c r="F123" s="9" t="s">
        <v>22</v>
      </c>
      <c r="G123" s="35">
        <f t="shared" si="90"/>
        <v>1</v>
      </c>
      <c r="H123" s="9" t="s">
        <v>22</v>
      </c>
      <c r="I123" s="9">
        <f t="shared" si="91"/>
        <v>1</v>
      </c>
      <c r="J123" s="9">
        <f t="shared" si="92"/>
        <v>1</v>
      </c>
    </row>
    <row r="124" ht="90">
      <c r="A124" s="38" t="s">
        <v>38</v>
      </c>
      <c r="B124" s="39" t="s">
        <v>327</v>
      </c>
      <c r="C124" s="40" t="s">
        <v>344</v>
      </c>
      <c r="D124" s="39" t="s">
        <v>345</v>
      </c>
      <c r="E124" s="40" t="s">
        <v>347</v>
      </c>
      <c r="F124" s="9" t="s">
        <v>22</v>
      </c>
      <c r="G124" s="35">
        <f t="shared" si="90"/>
        <v>1</v>
      </c>
      <c r="H124" s="9" t="s">
        <v>22</v>
      </c>
      <c r="I124" s="9">
        <f t="shared" si="91"/>
        <v>1</v>
      </c>
      <c r="J124" s="9">
        <f t="shared" si="92"/>
        <v>1</v>
      </c>
    </row>
    <row r="125" ht="90">
      <c r="A125" s="38" t="s">
        <v>38</v>
      </c>
      <c r="B125" s="39" t="s">
        <v>327</v>
      </c>
      <c r="C125" s="40" t="s">
        <v>344</v>
      </c>
      <c r="D125" s="39" t="s">
        <v>345</v>
      </c>
      <c r="E125" s="40" t="s">
        <v>348</v>
      </c>
      <c r="F125" s="9" t="s">
        <v>31</v>
      </c>
      <c r="G125" s="35">
        <f t="shared" si="90"/>
        <v>0.5</v>
      </c>
      <c r="H125" s="9" t="s">
        <v>31</v>
      </c>
      <c r="I125" s="9">
        <f t="shared" si="91"/>
        <v>0.5</v>
      </c>
      <c r="J125" s="9">
        <f t="shared" si="92"/>
        <v>0.5</v>
      </c>
    </row>
    <row r="126" ht="54">
      <c r="A126" s="38" t="s">
        <v>38</v>
      </c>
      <c r="B126" s="39" t="s">
        <v>327</v>
      </c>
      <c r="C126" s="40" t="s">
        <v>344</v>
      </c>
      <c r="D126" s="39" t="s">
        <v>345</v>
      </c>
      <c r="E126" s="40" t="s">
        <v>349</v>
      </c>
      <c r="F126" s="9" t="s">
        <v>31</v>
      </c>
      <c r="G126" s="35">
        <f t="shared" si="90"/>
        <v>0.5</v>
      </c>
      <c r="H126" s="9" t="s">
        <v>31</v>
      </c>
      <c r="I126" s="9">
        <f t="shared" si="91"/>
        <v>0.5</v>
      </c>
      <c r="J126" s="9">
        <f t="shared" si="92"/>
        <v>0.5</v>
      </c>
    </row>
    <row r="127" ht="72">
      <c r="A127" s="38" t="s">
        <v>38</v>
      </c>
      <c r="B127" s="39" t="s">
        <v>327</v>
      </c>
      <c r="C127" s="40" t="s">
        <v>350</v>
      </c>
      <c r="D127" s="39" t="s">
        <v>351</v>
      </c>
      <c r="E127" s="40" t="s">
        <v>352</v>
      </c>
      <c r="F127" s="9" t="s">
        <v>22</v>
      </c>
      <c r="G127" s="35">
        <f t="shared" si="90"/>
        <v>1</v>
      </c>
      <c r="H127" s="9" t="s">
        <v>22</v>
      </c>
      <c r="I127" s="9">
        <f t="shared" si="91"/>
        <v>1</v>
      </c>
      <c r="J127" s="9">
        <f t="shared" si="92"/>
        <v>1</v>
      </c>
    </row>
    <row r="128" ht="72">
      <c r="A128" s="38" t="s">
        <v>38</v>
      </c>
      <c r="B128" s="39" t="s">
        <v>327</v>
      </c>
      <c r="C128" s="40" t="s">
        <v>350</v>
      </c>
      <c r="D128" s="39" t="s">
        <v>351</v>
      </c>
      <c r="E128" s="40" t="s">
        <v>353</v>
      </c>
      <c r="F128" s="9" t="s">
        <v>31</v>
      </c>
      <c r="G128" s="35">
        <f t="shared" si="90"/>
        <v>0.5</v>
      </c>
      <c r="H128" s="9" t="s">
        <v>31</v>
      </c>
      <c r="I128" s="9">
        <f t="shared" si="91"/>
        <v>0.5</v>
      </c>
      <c r="J128" s="9">
        <f t="shared" si="92"/>
        <v>0.5</v>
      </c>
    </row>
    <row r="129" ht="90">
      <c r="A129" s="38" t="s">
        <v>38</v>
      </c>
      <c r="B129" s="39" t="s">
        <v>327</v>
      </c>
      <c r="C129" s="40" t="s">
        <v>350</v>
      </c>
      <c r="D129" s="39" t="s">
        <v>351</v>
      </c>
      <c r="E129" s="40" t="s">
        <v>354</v>
      </c>
      <c r="F129" s="9" t="s">
        <v>31</v>
      </c>
      <c r="G129" s="35">
        <f t="shared" si="90"/>
        <v>0.5</v>
      </c>
      <c r="H129" s="9" t="s">
        <v>31</v>
      </c>
      <c r="I129" s="9">
        <f t="shared" si="91"/>
        <v>0.5</v>
      </c>
      <c r="J129" s="9">
        <f t="shared" si="92"/>
        <v>0.5</v>
      </c>
    </row>
    <row r="130" ht="54">
      <c r="A130" s="38" t="s">
        <v>38</v>
      </c>
      <c r="B130" s="39" t="s">
        <v>327</v>
      </c>
      <c r="C130" s="40" t="s">
        <v>350</v>
      </c>
      <c r="D130" s="39" t="s">
        <v>351</v>
      </c>
      <c r="E130" s="40" t="s">
        <v>355</v>
      </c>
      <c r="F130" s="9" t="s">
        <v>31</v>
      </c>
      <c r="G130" s="35">
        <f t="shared" si="90"/>
        <v>0.5</v>
      </c>
      <c r="H130" s="9" t="s">
        <v>31</v>
      </c>
      <c r="I130" s="9">
        <f t="shared" si="91"/>
        <v>0.5</v>
      </c>
      <c r="J130" s="9">
        <f t="shared" si="92"/>
        <v>0.5</v>
      </c>
    </row>
    <row r="131" ht="54">
      <c r="A131" s="38" t="s">
        <v>38</v>
      </c>
      <c r="B131" s="39" t="s">
        <v>327</v>
      </c>
      <c r="C131" s="40" t="s">
        <v>356</v>
      </c>
      <c r="D131" s="39" t="s">
        <v>357</v>
      </c>
      <c r="E131" s="40" t="s">
        <v>358</v>
      </c>
      <c r="F131" s="9" t="s">
        <v>31</v>
      </c>
      <c r="G131" s="35">
        <f t="shared" ref="G131:G156" si="93">IF(F131="Cumple",1,IF(F131="Cumple Parcialmente",0.5,IF(F131="No Cumple",0,"")))</f>
        <v>0.5</v>
      </c>
      <c r="H131" s="9" t="s">
        <v>31</v>
      </c>
      <c r="I131" s="9">
        <f t="shared" ref="I131:I156" si="94">IF(H131="Cumple",1,IF(H131="Cumple Parcialmente",0.5,IF(H131="No Cumple",0,"")))</f>
        <v>0.5</v>
      </c>
      <c r="J131" s="9">
        <f t="shared" ref="J131:J156" si="95">AVERAGE(G131,I131)</f>
        <v>0.5</v>
      </c>
    </row>
    <row r="132" ht="54">
      <c r="A132" s="38" t="s">
        <v>38</v>
      </c>
      <c r="B132" s="39" t="s">
        <v>327</v>
      </c>
      <c r="C132" s="40" t="s">
        <v>356</v>
      </c>
      <c r="D132" s="39" t="s">
        <v>357</v>
      </c>
      <c r="E132" s="40" t="s">
        <v>359</v>
      </c>
      <c r="F132" s="9" t="s">
        <v>31</v>
      </c>
      <c r="G132" s="35">
        <f t="shared" si="93"/>
        <v>0.5</v>
      </c>
      <c r="H132" s="9" t="s">
        <v>31</v>
      </c>
      <c r="I132" s="9">
        <f t="shared" si="94"/>
        <v>0.5</v>
      </c>
      <c r="J132" s="9">
        <f t="shared" si="95"/>
        <v>0.5</v>
      </c>
    </row>
    <row r="133" ht="72">
      <c r="A133" s="38" t="s">
        <v>38</v>
      </c>
      <c r="B133" s="39" t="s">
        <v>327</v>
      </c>
      <c r="C133" s="40" t="s">
        <v>356</v>
      </c>
      <c r="D133" s="39" t="s">
        <v>357</v>
      </c>
      <c r="E133" s="40" t="s">
        <v>360</v>
      </c>
      <c r="F133" s="9" t="s">
        <v>140</v>
      </c>
      <c r="G133" s="35">
        <f t="shared" si="93"/>
        <v>0</v>
      </c>
      <c r="H133" s="9" t="s">
        <v>140</v>
      </c>
      <c r="I133" s="9">
        <f t="shared" si="94"/>
        <v>0</v>
      </c>
      <c r="J133" s="9">
        <f t="shared" si="95"/>
        <v>0</v>
      </c>
    </row>
    <row r="134" ht="72">
      <c r="A134" s="38" t="s">
        <v>38</v>
      </c>
      <c r="B134" s="39" t="s">
        <v>327</v>
      </c>
      <c r="C134" s="40" t="s">
        <v>356</v>
      </c>
      <c r="D134" s="39" t="s">
        <v>357</v>
      </c>
      <c r="E134" s="40" t="s">
        <v>361</v>
      </c>
      <c r="F134" s="9" t="s">
        <v>140</v>
      </c>
      <c r="G134" s="35">
        <f t="shared" si="93"/>
        <v>0</v>
      </c>
      <c r="H134" s="9" t="s">
        <v>140</v>
      </c>
      <c r="I134" s="9">
        <f t="shared" si="94"/>
        <v>0</v>
      </c>
      <c r="J134" s="9">
        <f t="shared" si="95"/>
        <v>0</v>
      </c>
    </row>
    <row r="135" ht="54">
      <c r="A135" s="38" t="s">
        <v>42</v>
      </c>
      <c r="B135" s="25" t="s">
        <v>327</v>
      </c>
      <c r="C135" s="26" t="s">
        <v>328</v>
      </c>
      <c r="D135" s="25" t="s">
        <v>329</v>
      </c>
      <c r="E135" s="26" t="s">
        <v>330</v>
      </c>
      <c r="F135" t="s">
        <v>31</v>
      </c>
      <c r="G135" s="35">
        <f t="shared" si="93"/>
        <v>0.5</v>
      </c>
      <c r="H135" t="s">
        <v>31</v>
      </c>
      <c r="I135" s="9">
        <f t="shared" si="94"/>
        <v>0.5</v>
      </c>
      <c r="J135" s="9">
        <f t="shared" si="95"/>
        <v>0.5</v>
      </c>
    </row>
    <row r="136" ht="54">
      <c r="A136" s="38" t="s">
        <v>42</v>
      </c>
      <c r="B136" s="39" t="s">
        <v>327</v>
      </c>
      <c r="C136" s="40" t="s">
        <v>328</v>
      </c>
      <c r="D136" s="39" t="s">
        <v>329</v>
      </c>
      <c r="E136" s="40" t="s">
        <v>331</v>
      </c>
      <c r="F136" s="34" t="s">
        <v>53</v>
      </c>
      <c r="G136" s="35">
        <f t="shared" si="93"/>
        <v>0</v>
      </c>
      <c r="H136" t="s">
        <v>31</v>
      </c>
      <c r="I136" s="9">
        <f t="shared" si="94"/>
        <v>0.5</v>
      </c>
      <c r="J136" s="9">
        <f t="shared" si="95"/>
        <v>0.25</v>
      </c>
    </row>
    <row r="137" ht="54">
      <c r="A137" s="38" t="s">
        <v>42</v>
      </c>
      <c r="B137" s="39" t="s">
        <v>327</v>
      </c>
      <c r="C137" s="40" t="s">
        <v>328</v>
      </c>
      <c r="D137" s="39" t="s">
        <v>329</v>
      </c>
      <c r="E137" s="40" t="s">
        <v>332</v>
      </c>
      <c r="F137" s="34" t="s">
        <v>22</v>
      </c>
      <c r="G137" s="35">
        <f t="shared" si="93"/>
        <v>1</v>
      </c>
      <c r="H137" t="s">
        <v>22</v>
      </c>
      <c r="I137" s="9">
        <f t="shared" si="94"/>
        <v>1</v>
      </c>
      <c r="J137" s="9">
        <f t="shared" si="95"/>
        <v>1</v>
      </c>
    </row>
    <row r="138" ht="54">
      <c r="A138" s="38" t="s">
        <v>42</v>
      </c>
      <c r="B138" s="39" t="s">
        <v>327</v>
      </c>
      <c r="C138" s="40" t="s">
        <v>328</v>
      </c>
      <c r="D138" s="39" t="s">
        <v>329</v>
      </c>
      <c r="E138" s="40" t="s">
        <v>333</v>
      </c>
      <c r="F138" s="34" t="s">
        <v>22</v>
      </c>
      <c r="G138" s="35">
        <f t="shared" si="93"/>
        <v>1</v>
      </c>
      <c r="H138" t="s">
        <v>22</v>
      </c>
      <c r="I138" s="9">
        <f t="shared" si="94"/>
        <v>1</v>
      </c>
      <c r="J138" s="9">
        <f t="shared" si="95"/>
        <v>1</v>
      </c>
    </row>
    <row r="139" ht="54">
      <c r="A139" s="38" t="s">
        <v>42</v>
      </c>
      <c r="B139" s="39" t="s">
        <v>327</v>
      </c>
      <c r="C139" s="40" t="s">
        <v>334</v>
      </c>
      <c r="D139" s="39" t="s">
        <v>335</v>
      </c>
      <c r="E139" s="40" t="s">
        <v>336</v>
      </c>
      <c r="F139" s="34" t="s">
        <v>22</v>
      </c>
      <c r="G139" s="35">
        <f t="shared" si="93"/>
        <v>1</v>
      </c>
      <c r="H139" t="s">
        <v>22</v>
      </c>
      <c r="I139" s="9">
        <f t="shared" si="94"/>
        <v>1</v>
      </c>
      <c r="J139" s="9">
        <f t="shared" si="95"/>
        <v>1</v>
      </c>
    </row>
    <row r="140" ht="72">
      <c r="A140" s="38" t="s">
        <v>42</v>
      </c>
      <c r="B140" s="39" t="s">
        <v>327</v>
      </c>
      <c r="C140" s="40" t="s">
        <v>334</v>
      </c>
      <c r="D140" s="39" t="s">
        <v>335</v>
      </c>
      <c r="E140" s="40" t="s">
        <v>337</v>
      </c>
      <c r="F140" t="s">
        <v>31</v>
      </c>
      <c r="G140" s="35">
        <f t="shared" si="93"/>
        <v>0.5</v>
      </c>
      <c r="H140" t="s">
        <v>31</v>
      </c>
      <c r="I140" s="9">
        <f t="shared" si="94"/>
        <v>0.5</v>
      </c>
      <c r="J140" s="9">
        <f t="shared" si="95"/>
        <v>0.5</v>
      </c>
    </row>
    <row r="141" ht="54">
      <c r="A141" s="38" t="s">
        <v>42</v>
      </c>
      <c r="B141" s="39" t="s">
        <v>327</v>
      </c>
      <c r="C141" s="40" t="s">
        <v>334</v>
      </c>
      <c r="D141" s="39" t="s">
        <v>335</v>
      </c>
      <c r="E141" s="40" t="s">
        <v>338</v>
      </c>
      <c r="F141" t="s">
        <v>22</v>
      </c>
      <c r="G141" s="35">
        <f t="shared" si="93"/>
        <v>1</v>
      </c>
      <c r="H141" t="s">
        <v>22</v>
      </c>
      <c r="I141" s="9">
        <f t="shared" si="94"/>
        <v>1</v>
      </c>
      <c r="J141" s="9">
        <f t="shared" si="95"/>
        <v>1</v>
      </c>
    </row>
    <row r="142" ht="108">
      <c r="A142" s="38" t="s">
        <v>42</v>
      </c>
      <c r="B142" s="39" t="s">
        <v>327</v>
      </c>
      <c r="C142" s="40" t="s">
        <v>339</v>
      </c>
      <c r="D142" s="39" t="s">
        <v>340</v>
      </c>
      <c r="E142" s="40" t="s">
        <v>341</v>
      </c>
      <c r="F142" t="s">
        <v>31</v>
      </c>
      <c r="G142" s="35">
        <f t="shared" si="93"/>
        <v>0.5</v>
      </c>
      <c r="H142" t="s">
        <v>31</v>
      </c>
      <c r="I142" s="9">
        <f t="shared" si="94"/>
        <v>0.5</v>
      </c>
      <c r="J142" s="9">
        <f t="shared" si="95"/>
        <v>0.5</v>
      </c>
    </row>
    <row r="143" ht="72">
      <c r="A143" s="38" t="s">
        <v>42</v>
      </c>
      <c r="B143" s="39" t="s">
        <v>327</v>
      </c>
      <c r="C143" s="40" t="s">
        <v>339</v>
      </c>
      <c r="D143" s="39" t="s">
        <v>340</v>
      </c>
      <c r="E143" s="40" t="s">
        <v>342</v>
      </c>
      <c r="F143" s="34" t="s">
        <v>53</v>
      </c>
      <c r="G143" s="35">
        <f t="shared" si="93"/>
        <v>0</v>
      </c>
      <c r="H143" t="s">
        <v>22</v>
      </c>
      <c r="I143" s="9">
        <f t="shared" si="94"/>
        <v>1</v>
      </c>
      <c r="J143" s="9">
        <f t="shared" si="95"/>
        <v>0.5</v>
      </c>
    </row>
    <row r="144" ht="90">
      <c r="A144" s="38" t="s">
        <v>42</v>
      </c>
      <c r="B144" s="39" t="s">
        <v>327</v>
      </c>
      <c r="C144" s="40" t="s">
        <v>339</v>
      </c>
      <c r="D144" s="39" t="s">
        <v>340</v>
      </c>
      <c r="E144" s="40" t="s">
        <v>343</v>
      </c>
      <c r="F144" s="34" t="s">
        <v>70</v>
      </c>
      <c r="G144" s="35">
        <f t="shared" si="93"/>
        <v>0.5</v>
      </c>
      <c r="H144" t="s">
        <v>140</v>
      </c>
      <c r="I144" s="9">
        <f t="shared" si="94"/>
        <v>0</v>
      </c>
      <c r="J144" s="9">
        <f t="shared" si="95"/>
        <v>0.25</v>
      </c>
    </row>
    <row r="145" ht="54">
      <c r="A145" s="38" t="s">
        <v>42</v>
      </c>
      <c r="B145" s="39" t="s">
        <v>327</v>
      </c>
      <c r="C145" s="40" t="s">
        <v>344</v>
      </c>
      <c r="D145" s="39" t="s">
        <v>345</v>
      </c>
      <c r="E145" s="40" t="s">
        <v>346</v>
      </c>
      <c r="F145" s="34" t="s">
        <v>22</v>
      </c>
      <c r="G145" s="35">
        <f t="shared" si="93"/>
        <v>1</v>
      </c>
      <c r="H145" t="s">
        <v>22</v>
      </c>
      <c r="I145" s="9">
        <f t="shared" si="94"/>
        <v>1</v>
      </c>
      <c r="J145" s="9">
        <f t="shared" si="95"/>
        <v>1</v>
      </c>
    </row>
    <row r="146" ht="90">
      <c r="A146" s="38" t="s">
        <v>42</v>
      </c>
      <c r="B146" s="39" t="s">
        <v>327</v>
      </c>
      <c r="C146" s="40" t="s">
        <v>344</v>
      </c>
      <c r="D146" s="39" t="s">
        <v>345</v>
      </c>
      <c r="E146" s="40" t="s">
        <v>347</v>
      </c>
      <c r="F146" s="34" t="s">
        <v>22</v>
      </c>
      <c r="G146" s="35">
        <f t="shared" si="93"/>
        <v>1</v>
      </c>
      <c r="H146" t="s">
        <v>22</v>
      </c>
      <c r="I146" s="9">
        <f t="shared" si="94"/>
        <v>1</v>
      </c>
      <c r="J146" s="9">
        <f t="shared" si="95"/>
        <v>1</v>
      </c>
    </row>
    <row r="147" ht="90">
      <c r="A147" s="38" t="s">
        <v>42</v>
      </c>
      <c r="B147" s="39" t="s">
        <v>327</v>
      </c>
      <c r="C147" s="40" t="s">
        <v>344</v>
      </c>
      <c r="D147" s="39" t="s">
        <v>345</v>
      </c>
      <c r="E147" s="40" t="s">
        <v>348</v>
      </c>
      <c r="F147" s="34" t="s">
        <v>22</v>
      </c>
      <c r="G147" s="35">
        <f t="shared" si="93"/>
        <v>1</v>
      </c>
      <c r="H147" t="s">
        <v>31</v>
      </c>
      <c r="I147" s="9">
        <f t="shared" si="94"/>
        <v>0.5</v>
      </c>
      <c r="J147" s="9">
        <f t="shared" si="95"/>
        <v>0.75</v>
      </c>
    </row>
    <row r="148" ht="54">
      <c r="A148" s="38" t="s">
        <v>42</v>
      </c>
      <c r="B148" s="39" t="s">
        <v>327</v>
      </c>
      <c r="C148" s="40" t="s">
        <v>344</v>
      </c>
      <c r="D148" s="39" t="s">
        <v>345</v>
      </c>
      <c r="E148" s="40" t="s">
        <v>349</v>
      </c>
      <c r="F148" s="34" t="s">
        <v>22</v>
      </c>
      <c r="G148" s="35">
        <f t="shared" si="93"/>
        <v>1</v>
      </c>
      <c r="H148" t="s">
        <v>31</v>
      </c>
      <c r="I148" s="9">
        <f t="shared" si="94"/>
        <v>0.5</v>
      </c>
      <c r="J148" s="9">
        <f t="shared" si="95"/>
        <v>0.75</v>
      </c>
    </row>
    <row r="149" ht="72">
      <c r="A149" s="38" t="s">
        <v>42</v>
      </c>
      <c r="B149" s="39" t="s">
        <v>327</v>
      </c>
      <c r="C149" s="40" t="s">
        <v>350</v>
      </c>
      <c r="D149" s="39" t="s">
        <v>351</v>
      </c>
      <c r="E149" s="40" t="s">
        <v>352</v>
      </c>
      <c r="F149" s="34" t="s">
        <v>22</v>
      </c>
      <c r="G149" s="35">
        <f t="shared" si="93"/>
        <v>1</v>
      </c>
      <c r="H149" t="s">
        <v>22</v>
      </c>
      <c r="I149" s="9">
        <f t="shared" si="94"/>
        <v>1</v>
      </c>
      <c r="J149" s="9">
        <f t="shared" si="95"/>
        <v>1</v>
      </c>
    </row>
    <row r="150" ht="72">
      <c r="A150" s="38" t="s">
        <v>42</v>
      </c>
      <c r="B150" s="39" t="s">
        <v>327</v>
      </c>
      <c r="C150" s="40" t="s">
        <v>350</v>
      </c>
      <c r="D150" s="39" t="s">
        <v>351</v>
      </c>
      <c r="E150" s="40" t="s">
        <v>353</v>
      </c>
      <c r="F150" s="34" t="s">
        <v>22</v>
      </c>
      <c r="G150" s="35">
        <f t="shared" si="93"/>
        <v>1</v>
      </c>
      <c r="H150" t="s">
        <v>31</v>
      </c>
      <c r="I150" s="9">
        <f t="shared" si="94"/>
        <v>0.5</v>
      </c>
      <c r="J150" s="9">
        <f t="shared" si="95"/>
        <v>0.75</v>
      </c>
    </row>
    <row r="151" ht="90">
      <c r="A151" s="38" t="s">
        <v>42</v>
      </c>
      <c r="B151" s="39" t="s">
        <v>327</v>
      </c>
      <c r="C151" s="40" t="s">
        <v>350</v>
      </c>
      <c r="D151" s="39" t="s">
        <v>351</v>
      </c>
      <c r="E151" s="40" t="s">
        <v>354</v>
      </c>
      <c r="F151" s="34" t="s">
        <v>22</v>
      </c>
      <c r="G151" s="35">
        <f t="shared" si="93"/>
        <v>1</v>
      </c>
      <c r="H151" t="s">
        <v>31</v>
      </c>
      <c r="I151" s="9">
        <f t="shared" si="94"/>
        <v>0.5</v>
      </c>
      <c r="J151" s="9">
        <f t="shared" si="95"/>
        <v>0.75</v>
      </c>
    </row>
    <row r="152" ht="54">
      <c r="A152" s="38" t="s">
        <v>42</v>
      </c>
      <c r="B152" s="39" t="s">
        <v>327</v>
      </c>
      <c r="C152" s="40" t="s">
        <v>350</v>
      </c>
      <c r="D152" s="39" t="s">
        <v>351</v>
      </c>
      <c r="E152" s="40" t="s">
        <v>355</v>
      </c>
      <c r="F152" s="34" t="s">
        <v>22</v>
      </c>
      <c r="G152" s="35">
        <f t="shared" si="93"/>
        <v>1</v>
      </c>
      <c r="H152" t="s">
        <v>31</v>
      </c>
      <c r="I152" s="9">
        <f t="shared" si="94"/>
        <v>0.5</v>
      </c>
      <c r="J152" s="9">
        <f t="shared" si="95"/>
        <v>0.75</v>
      </c>
    </row>
    <row r="153" ht="54">
      <c r="A153" s="38" t="s">
        <v>42</v>
      </c>
      <c r="B153" s="39" t="s">
        <v>327</v>
      </c>
      <c r="C153" s="40" t="s">
        <v>356</v>
      </c>
      <c r="D153" s="39" t="s">
        <v>357</v>
      </c>
      <c r="E153" s="40" t="s">
        <v>358</v>
      </c>
      <c r="F153" s="34" t="s">
        <v>53</v>
      </c>
      <c r="G153" s="35">
        <f t="shared" si="93"/>
        <v>0</v>
      </c>
      <c r="H153" t="s">
        <v>31</v>
      </c>
      <c r="I153" s="9">
        <f t="shared" si="94"/>
        <v>0.5</v>
      </c>
      <c r="J153" s="9">
        <f t="shared" si="95"/>
        <v>0.25</v>
      </c>
    </row>
    <row r="154" ht="54">
      <c r="A154" s="38" t="s">
        <v>42</v>
      </c>
      <c r="B154" s="39" t="s">
        <v>327</v>
      </c>
      <c r="C154" s="40" t="s">
        <v>356</v>
      </c>
      <c r="D154" s="39" t="s">
        <v>357</v>
      </c>
      <c r="E154" s="40" t="s">
        <v>359</v>
      </c>
      <c r="F154" s="34" t="s">
        <v>22</v>
      </c>
      <c r="G154" s="35">
        <f t="shared" si="93"/>
        <v>1</v>
      </c>
      <c r="H154" t="s">
        <v>140</v>
      </c>
      <c r="I154" s="9">
        <f t="shared" si="94"/>
        <v>0</v>
      </c>
      <c r="J154" s="9">
        <f t="shared" si="95"/>
        <v>0.5</v>
      </c>
    </row>
    <row r="155" ht="72">
      <c r="A155" s="38" t="s">
        <v>42</v>
      </c>
      <c r="B155" s="39" t="s">
        <v>327</v>
      </c>
      <c r="C155" s="40" t="s">
        <v>356</v>
      </c>
      <c r="D155" s="39" t="s">
        <v>357</v>
      </c>
      <c r="E155" s="40" t="s">
        <v>360</v>
      </c>
      <c r="F155" s="34" t="s">
        <v>22</v>
      </c>
      <c r="G155" s="35">
        <f t="shared" si="93"/>
        <v>1</v>
      </c>
      <c r="H155" t="s">
        <v>140</v>
      </c>
      <c r="I155" s="9">
        <f t="shared" si="94"/>
        <v>0</v>
      </c>
      <c r="J155" s="9">
        <f t="shared" si="95"/>
        <v>0.5</v>
      </c>
    </row>
    <row r="156" ht="72">
      <c r="A156" s="38" t="s">
        <v>42</v>
      </c>
      <c r="B156" s="39" t="s">
        <v>327</v>
      </c>
      <c r="C156" s="40" t="s">
        <v>356</v>
      </c>
      <c r="D156" s="39" t="s">
        <v>357</v>
      </c>
      <c r="E156" s="40" t="s">
        <v>361</v>
      </c>
      <c r="F156" s="34" t="s">
        <v>22</v>
      </c>
      <c r="G156" s="35">
        <f t="shared" si="93"/>
        <v>1</v>
      </c>
      <c r="H156" t="s">
        <v>31</v>
      </c>
      <c r="I156" s="9">
        <f t="shared" si="94"/>
        <v>0.5</v>
      </c>
      <c r="J156" s="9">
        <f t="shared" si="95"/>
        <v>0.75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55" workbookViewId="0">
      <selection activeCell="N5" activeCellId="0" sqref="N5"/>
    </sheetView>
  </sheetViews>
  <sheetFormatPr baseColWidth="10" defaultRowHeight="14.25"/>
  <cols>
    <col customWidth="1" min="2" max="2" width="32.140625"/>
    <col customWidth="1" min="3" max="3" width="33"/>
    <col customWidth="1" min="4" max="4" width="34.7109375"/>
    <col customWidth="1" min="5" max="5" width="55.42578125"/>
    <col customWidth="1" min="6" max="6" width="16.5703125"/>
    <col customWidth="1" min="7" max="7" width="19.28515625"/>
    <col customWidth="1" min="8" max="8" width="22.7109375"/>
    <col customWidth="1" min="9" max="9" width="17.7109375"/>
    <col customWidth="1" min="10" max="10" width="19"/>
    <col customWidth="1" min="21" max="21" width="17.7109375"/>
    <col customWidth="1" min="22" max="22" width="16.5703125"/>
    <col customWidth="1" min="23" max="23" width="18.42578125"/>
    <col customWidth="1" min="24" max="24" width="16.85546875"/>
    <col customWidth="1" min="25" max="25" width="16.42578125"/>
    <col customWidth="1" min="26" max="26" width="18.140625"/>
  </cols>
  <sheetData>
    <row r="2" ht="15.75">
      <c r="A2" s="36" t="s">
        <v>0</v>
      </c>
      <c r="B2" s="37" t="s">
        <v>1</v>
      </c>
      <c r="C2" s="37" t="s">
        <v>2</v>
      </c>
      <c r="D2" s="37" t="s">
        <v>3</v>
      </c>
      <c r="E2" s="37" t="s">
        <v>4</v>
      </c>
      <c r="F2" s="37" t="s">
        <v>5</v>
      </c>
      <c r="G2" s="37" t="s">
        <v>325</v>
      </c>
      <c r="H2" s="37" t="s">
        <v>142</v>
      </c>
      <c r="I2" s="37" t="s">
        <v>326</v>
      </c>
      <c r="J2" s="44" t="s">
        <v>9</v>
      </c>
      <c r="T2" s="4" t="s">
        <v>10</v>
      </c>
      <c r="U2" s="4" t="s">
        <v>11</v>
      </c>
      <c r="V2" s="4" t="s">
        <v>12</v>
      </c>
      <c r="W2" s="4" t="s">
        <v>13</v>
      </c>
      <c r="X2" s="4" t="s">
        <v>14</v>
      </c>
      <c r="Y2" s="4" t="s">
        <v>15</v>
      </c>
      <c r="Z2" s="4" t="s">
        <v>16</v>
      </c>
    </row>
    <row r="3" ht="80.450000000000003" customHeight="1">
      <c r="A3" s="38" t="s">
        <v>17</v>
      </c>
      <c r="B3" s="39" t="s">
        <v>362</v>
      </c>
      <c r="C3" s="40" t="s">
        <v>363</v>
      </c>
      <c r="D3" s="39" t="s">
        <v>364</v>
      </c>
      <c r="E3" s="40" t="s">
        <v>365</v>
      </c>
      <c r="F3" s="34" t="s">
        <v>22</v>
      </c>
      <c r="G3" s="35">
        <f t="shared" ref="G3:G66" si="96">IF(F3="Cumple",1,IF(F3="Cumple Parcialmente",0.5,IF(F3="No Cumple",0,"")))</f>
        <v>1</v>
      </c>
      <c r="H3" s="9" t="s">
        <v>95</v>
      </c>
      <c r="I3" s="9">
        <f t="shared" ref="I3:I66" si="97">IF(H3="Cumple",1,IF(H3="Cumple Parcialmente",0.5,IF(H3="No Cumple",0,"")))</f>
        <v>0.5</v>
      </c>
      <c r="J3" s="45">
        <f t="shared" ref="J3:J66" si="98">AVERAGE(G3,I3)</f>
        <v>0.75</v>
      </c>
      <c r="T3" s="10" t="s">
        <v>17</v>
      </c>
      <c r="U3" s="10" t="e">
        <f>SUM(#REF!)</f>
        <v>#REF!</v>
      </c>
      <c r="V3" s="10" t="e">
        <f t="shared" ref="V3:V9" si="99">ROUND((U3/22)*100,2)</f>
        <v>#REF!</v>
      </c>
      <c r="W3" s="10">
        <f>SUM(A3:A24)</f>
        <v>0</v>
      </c>
      <c r="X3" s="10">
        <f t="shared" ref="X3:X9" si="100">ROUND((W3/22)*100,2)</f>
        <v>0</v>
      </c>
      <c r="Y3" s="11" t="e">
        <f t="shared" ref="Y3:Y9" si="101">AVERAGE(U3,W3)</f>
        <v>#REF!</v>
      </c>
      <c r="Z3" s="12" t="e">
        <f t="shared" ref="Z3:Z9" si="102">ROUND((Y3/22)*100,2)</f>
        <v>#REF!</v>
      </c>
    </row>
    <row r="4" ht="63">
      <c r="A4" s="38" t="s">
        <v>17</v>
      </c>
      <c r="B4" s="39" t="s">
        <v>362</v>
      </c>
      <c r="C4" s="40" t="s">
        <v>363</v>
      </c>
      <c r="D4" s="39" t="s">
        <v>364</v>
      </c>
      <c r="E4" s="40" t="s">
        <v>366</v>
      </c>
      <c r="F4" s="34" t="s">
        <v>22</v>
      </c>
      <c r="G4" s="35">
        <f t="shared" si="96"/>
        <v>1</v>
      </c>
      <c r="H4" s="9" t="s">
        <v>95</v>
      </c>
      <c r="I4" s="9">
        <f t="shared" si="97"/>
        <v>0.5</v>
      </c>
      <c r="J4" s="45">
        <f t="shared" si="98"/>
        <v>0.75</v>
      </c>
      <c r="T4" s="10" t="s">
        <v>25</v>
      </c>
      <c r="U4" s="10" t="e">
        <f>SUM(#REF!)</f>
        <v>#REF!</v>
      </c>
      <c r="V4" s="10" t="e">
        <f t="shared" si="99"/>
        <v>#REF!</v>
      </c>
      <c r="W4" s="10">
        <f>SUM(A25:A46)</f>
        <v>0</v>
      </c>
      <c r="X4" s="10">
        <f t="shared" si="100"/>
        <v>0</v>
      </c>
      <c r="Y4" s="11" t="e">
        <f t="shared" si="101"/>
        <v>#REF!</v>
      </c>
      <c r="Z4" s="12" t="e">
        <f t="shared" si="102"/>
        <v>#REF!</v>
      </c>
    </row>
    <row r="5" ht="94.5">
      <c r="A5" s="38" t="s">
        <v>17</v>
      </c>
      <c r="B5" s="39" t="s">
        <v>362</v>
      </c>
      <c r="C5" s="40" t="s">
        <v>363</v>
      </c>
      <c r="D5" s="39" t="s">
        <v>364</v>
      </c>
      <c r="E5" s="40" t="s">
        <v>367</v>
      </c>
      <c r="F5" s="34" t="s">
        <v>22</v>
      </c>
      <c r="G5" s="35">
        <f t="shared" si="96"/>
        <v>1</v>
      </c>
      <c r="H5" s="9" t="s">
        <v>95</v>
      </c>
      <c r="I5" s="9">
        <f t="shared" si="97"/>
        <v>0.5</v>
      </c>
      <c r="J5" s="45">
        <f t="shared" si="98"/>
        <v>0.75</v>
      </c>
      <c r="T5" s="10" t="s">
        <v>29</v>
      </c>
      <c r="U5" s="10" t="e">
        <f>SUM(#REF!)</f>
        <v>#REF!</v>
      </c>
      <c r="V5" s="10" t="e">
        <f t="shared" si="99"/>
        <v>#REF!</v>
      </c>
      <c r="W5" s="10">
        <f>SUM(A47:A68)</f>
        <v>0</v>
      </c>
      <c r="X5" s="10">
        <f t="shared" si="100"/>
        <v>0</v>
      </c>
      <c r="Y5" s="11" t="e">
        <f t="shared" si="101"/>
        <v>#REF!</v>
      </c>
      <c r="Z5" s="12" t="e">
        <f t="shared" si="102"/>
        <v>#REF!</v>
      </c>
    </row>
    <row r="6" ht="78.75">
      <c r="A6" s="38" t="s">
        <v>17</v>
      </c>
      <c r="B6" s="39" t="s">
        <v>362</v>
      </c>
      <c r="C6" s="40" t="s">
        <v>363</v>
      </c>
      <c r="D6" s="39" t="s">
        <v>364</v>
      </c>
      <c r="E6" s="40" t="s">
        <v>368</v>
      </c>
      <c r="F6" s="34" t="s">
        <v>22</v>
      </c>
      <c r="G6" s="46">
        <f t="shared" si="96"/>
        <v>1</v>
      </c>
      <c r="H6" s="9" t="s">
        <v>95</v>
      </c>
      <c r="I6" s="9">
        <f t="shared" si="97"/>
        <v>0.5</v>
      </c>
      <c r="J6" s="45">
        <f t="shared" si="98"/>
        <v>0.75</v>
      </c>
      <c r="T6" s="10" t="s">
        <v>32</v>
      </c>
      <c r="U6" s="10" t="e">
        <f>SUM(#REF!)</f>
        <v>#REF!</v>
      </c>
      <c r="V6" s="10" t="e">
        <f t="shared" si="99"/>
        <v>#REF!</v>
      </c>
      <c r="W6" s="10">
        <f>SUM(A69:A90)</f>
        <v>0</v>
      </c>
      <c r="X6" s="10">
        <f t="shared" si="100"/>
        <v>0</v>
      </c>
      <c r="Y6" s="11" t="e">
        <f t="shared" si="101"/>
        <v>#REF!</v>
      </c>
      <c r="Z6" s="12" t="e">
        <f t="shared" si="102"/>
        <v>#REF!</v>
      </c>
    </row>
    <row r="7" ht="63">
      <c r="A7" s="38" t="s">
        <v>17</v>
      </c>
      <c r="B7" s="39" t="s">
        <v>362</v>
      </c>
      <c r="C7" s="40" t="s">
        <v>369</v>
      </c>
      <c r="D7" s="39" t="s">
        <v>370</v>
      </c>
      <c r="E7" s="40" t="s">
        <v>371</v>
      </c>
      <c r="F7" s="34" t="s">
        <v>22</v>
      </c>
      <c r="G7" s="35">
        <f t="shared" si="96"/>
        <v>1</v>
      </c>
      <c r="H7" s="9" t="s">
        <v>74</v>
      </c>
      <c r="I7" s="9">
        <f t="shared" si="97"/>
        <v>0</v>
      </c>
      <c r="J7" s="45">
        <f t="shared" si="98"/>
        <v>0.5</v>
      </c>
      <c r="T7" s="10" t="s">
        <v>36</v>
      </c>
      <c r="U7" s="10" t="e">
        <f>SUM(#REF!)</f>
        <v>#REF!</v>
      </c>
      <c r="V7" s="10" t="e">
        <f t="shared" si="99"/>
        <v>#REF!</v>
      </c>
      <c r="W7" s="10">
        <f>SUM(A91:A112)</f>
        <v>0</v>
      </c>
      <c r="X7" s="10">
        <f t="shared" si="100"/>
        <v>0</v>
      </c>
      <c r="Y7" s="11" t="e">
        <f t="shared" si="101"/>
        <v>#REF!</v>
      </c>
      <c r="Z7" s="12" t="e">
        <f t="shared" si="102"/>
        <v>#REF!</v>
      </c>
    </row>
    <row r="8" ht="94.5">
      <c r="A8" s="38" t="s">
        <v>17</v>
      </c>
      <c r="B8" s="39" t="s">
        <v>362</v>
      </c>
      <c r="C8" s="40" t="s">
        <v>369</v>
      </c>
      <c r="D8" s="39" t="s">
        <v>370</v>
      </c>
      <c r="E8" s="40" t="s">
        <v>372</v>
      </c>
      <c r="F8" s="34" t="s">
        <v>70</v>
      </c>
      <c r="G8" s="35">
        <f t="shared" si="96"/>
        <v>0.5</v>
      </c>
      <c r="H8" s="9" t="s">
        <v>95</v>
      </c>
      <c r="I8" s="9">
        <f t="shared" si="97"/>
        <v>0.5</v>
      </c>
      <c r="J8" s="45">
        <f t="shared" si="98"/>
        <v>0.5</v>
      </c>
      <c r="T8" s="10" t="s">
        <v>38</v>
      </c>
      <c r="U8" s="10" t="e">
        <f>SUM(#REF!)</f>
        <v>#REF!</v>
      </c>
      <c r="V8" s="10" t="e">
        <f t="shared" si="99"/>
        <v>#REF!</v>
      </c>
      <c r="W8" s="10">
        <f>SUM(A113:A134)</f>
        <v>0</v>
      </c>
      <c r="X8" s="10">
        <f t="shared" si="100"/>
        <v>0</v>
      </c>
      <c r="Y8" s="11" t="e">
        <f t="shared" si="101"/>
        <v>#REF!</v>
      </c>
      <c r="Z8" s="12" t="e">
        <f t="shared" si="102"/>
        <v>#REF!</v>
      </c>
    </row>
    <row r="9" ht="94.5">
      <c r="A9" s="38" t="s">
        <v>17</v>
      </c>
      <c r="B9" s="39" t="s">
        <v>362</v>
      </c>
      <c r="C9" s="40" t="s">
        <v>369</v>
      </c>
      <c r="D9" s="39" t="s">
        <v>370</v>
      </c>
      <c r="E9" s="40" t="s">
        <v>373</v>
      </c>
      <c r="F9" s="34" t="s">
        <v>53</v>
      </c>
      <c r="G9" s="35">
        <f t="shared" si="96"/>
        <v>0</v>
      </c>
      <c r="H9" s="9" t="s">
        <v>74</v>
      </c>
      <c r="I9" s="9">
        <f t="shared" si="97"/>
        <v>0</v>
      </c>
      <c r="J9" s="45">
        <f t="shared" si="98"/>
        <v>0</v>
      </c>
      <c r="T9" s="10" t="s">
        <v>42</v>
      </c>
      <c r="U9" s="10" t="e">
        <f>SUM(#REF!)</f>
        <v>#REF!</v>
      </c>
      <c r="V9" s="10" t="e">
        <f t="shared" si="99"/>
        <v>#REF!</v>
      </c>
      <c r="W9" s="10">
        <f>SUM(A135:A156)</f>
        <v>0</v>
      </c>
      <c r="X9" s="10">
        <f t="shared" si="100"/>
        <v>0</v>
      </c>
      <c r="Y9" s="11" t="e">
        <f t="shared" si="101"/>
        <v>#REF!</v>
      </c>
      <c r="Z9" s="12" t="e">
        <f t="shared" si="102"/>
        <v>#REF!</v>
      </c>
    </row>
    <row r="10" ht="94.5">
      <c r="A10" s="38" t="s">
        <v>17</v>
      </c>
      <c r="B10" s="39" t="s">
        <v>362</v>
      </c>
      <c r="C10" s="40" t="s">
        <v>369</v>
      </c>
      <c r="D10" s="39" t="s">
        <v>370</v>
      </c>
      <c r="E10" s="40" t="s">
        <v>374</v>
      </c>
      <c r="F10" s="34" t="s">
        <v>22</v>
      </c>
      <c r="G10" s="35">
        <f t="shared" si="96"/>
        <v>1</v>
      </c>
      <c r="H10" s="9" t="s">
        <v>95</v>
      </c>
      <c r="I10" s="9">
        <f t="shared" si="97"/>
        <v>0.5</v>
      </c>
      <c r="J10" s="45">
        <f t="shared" si="98"/>
        <v>0.75</v>
      </c>
    </row>
    <row r="11" ht="110.25">
      <c r="A11" s="38" t="s">
        <v>17</v>
      </c>
      <c r="B11" s="39" t="s">
        <v>362</v>
      </c>
      <c r="C11" s="40" t="s">
        <v>375</v>
      </c>
      <c r="D11" s="39" t="s">
        <v>376</v>
      </c>
      <c r="E11" s="40" t="s">
        <v>377</v>
      </c>
      <c r="F11" s="34" t="s">
        <v>70</v>
      </c>
      <c r="G11" s="35">
        <f t="shared" si="96"/>
        <v>0.5</v>
      </c>
      <c r="H11" s="9" t="s">
        <v>74</v>
      </c>
      <c r="I11" s="9">
        <f t="shared" si="97"/>
        <v>0</v>
      </c>
      <c r="J11" s="45">
        <f t="shared" si="98"/>
        <v>0.25</v>
      </c>
    </row>
    <row r="12" ht="94.5">
      <c r="A12" s="38" t="s">
        <v>17</v>
      </c>
      <c r="B12" s="39" t="s">
        <v>362</v>
      </c>
      <c r="C12" s="40" t="s">
        <v>375</v>
      </c>
      <c r="D12" s="39" t="s">
        <v>376</v>
      </c>
      <c r="E12" s="40" t="s">
        <v>378</v>
      </c>
      <c r="F12" s="34" t="s">
        <v>53</v>
      </c>
      <c r="G12" s="35">
        <f t="shared" si="96"/>
        <v>0</v>
      </c>
      <c r="H12" s="9" t="s">
        <v>95</v>
      </c>
      <c r="I12" s="9">
        <f t="shared" si="97"/>
        <v>0.5</v>
      </c>
      <c r="J12" s="45">
        <f t="shared" si="98"/>
        <v>0.25</v>
      </c>
    </row>
    <row r="13" ht="94.5">
      <c r="A13" s="38" t="s">
        <v>17</v>
      </c>
      <c r="B13" s="39" t="s">
        <v>362</v>
      </c>
      <c r="C13" s="40" t="s">
        <v>375</v>
      </c>
      <c r="D13" s="39" t="s">
        <v>376</v>
      </c>
      <c r="E13" s="40" t="s">
        <v>379</v>
      </c>
      <c r="F13" s="34" t="s">
        <v>70</v>
      </c>
      <c r="G13" s="35">
        <f t="shared" si="96"/>
        <v>0.5</v>
      </c>
      <c r="H13" s="9" t="s">
        <v>74</v>
      </c>
      <c r="I13" s="9">
        <f t="shared" si="97"/>
        <v>0</v>
      </c>
      <c r="J13" s="45">
        <f t="shared" si="98"/>
        <v>0.25</v>
      </c>
    </row>
    <row r="14" ht="94.5">
      <c r="A14" s="38" t="s">
        <v>17</v>
      </c>
      <c r="B14" s="39" t="s">
        <v>362</v>
      </c>
      <c r="C14" s="40" t="s">
        <v>380</v>
      </c>
      <c r="D14" s="39" t="s">
        <v>381</v>
      </c>
      <c r="E14" s="40" t="s">
        <v>382</v>
      </c>
      <c r="F14" s="34" t="s">
        <v>22</v>
      </c>
      <c r="G14" s="35">
        <f t="shared" si="96"/>
        <v>1</v>
      </c>
      <c r="H14" s="9" t="s">
        <v>95</v>
      </c>
      <c r="I14" s="9">
        <f t="shared" si="97"/>
        <v>0.5</v>
      </c>
      <c r="J14" s="45">
        <f t="shared" si="98"/>
        <v>0.75</v>
      </c>
    </row>
    <row r="15" ht="78.75">
      <c r="A15" s="38" t="s">
        <v>17</v>
      </c>
      <c r="B15" s="39" t="s">
        <v>362</v>
      </c>
      <c r="C15" s="40" t="s">
        <v>380</v>
      </c>
      <c r="D15" s="39" t="s">
        <v>381</v>
      </c>
      <c r="E15" s="40" t="s">
        <v>383</v>
      </c>
      <c r="F15" s="34" t="s">
        <v>22</v>
      </c>
      <c r="G15" s="35">
        <f t="shared" si="96"/>
        <v>1</v>
      </c>
      <c r="H15" s="9" t="s">
        <v>95</v>
      </c>
      <c r="I15" s="9">
        <f t="shared" si="97"/>
        <v>0.5</v>
      </c>
      <c r="J15" s="45">
        <f t="shared" si="98"/>
        <v>0.75</v>
      </c>
    </row>
    <row r="16" ht="94.5">
      <c r="A16" s="38" t="s">
        <v>17</v>
      </c>
      <c r="B16" s="39" t="s">
        <v>362</v>
      </c>
      <c r="C16" s="40" t="s">
        <v>380</v>
      </c>
      <c r="D16" s="39" t="s">
        <v>381</v>
      </c>
      <c r="E16" s="40" t="s">
        <v>384</v>
      </c>
      <c r="F16" s="34" t="s">
        <v>70</v>
      </c>
      <c r="G16" s="35">
        <f t="shared" si="96"/>
        <v>0.5</v>
      </c>
      <c r="H16" s="9" t="s">
        <v>385</v>
      </c>
      <c r="I16" s="9" t="str">
        <f t="shared" si="97"/>
        <v/>
      </c>
      <c r="J16" s="45">
        <f t="shared" si="98"/>
        <v>0.5</v>
      </c>
    </row>
    <row r="17" ht="110.25">
      <c r="A17" s="38" t="s">
        <v>17</v>
      </c>
      <c r="B17" s="39" t="s">
        <v>362</v>
      </c>
      <c r="C17" s="40" t="s">
        <v>386</v>
      </c>
      <c r="D17" s="39" t="s">
        <v>387</v>
      </c>
      <c r="E17" s="40" t="s">
        <v>388</v>
      </c>
      <c r="F17" s="34" t="s">
        <v>22</v>
      </c>
      <c r="G17" s="35">
        <f t="shared" si="96"/>
        <v>1</v>
      </c>
      <c r="H17" s="9" t="s">
        <v>24</v>
      </c>
      <c r="I17" s="9">
        <f t="shared" si="97"/>
        <v>1</v>
      </c>
      <c r="J17" s="45">
        <f t="shared" si="98"/>
        <v>1</v>
      </c>
    </row>
    <row r="18" ht="78.75">
      <c r="A18" s="38" t="s">
        <v>17</v>
      </c>
      <c r="B18" s="39" t="s">
        <v>362</v>
      </c>
      <c r="C18" s="40" t="s">
        <v>386</v>
      </c>
      <c r="D18" s="39" t="s">
        <v>387</v>
      </c>
      <c r="E18" s="40" t="s">
        <v>389</v>
      </c>
      <c r="F18" s="34" t="s">
        <v>22</v>
      </c>
      <c r="G18" s="35">
        <f t="shared" si="96"/>
        <v>1</v>
      </c>
      <c r="H18" s="9" t="s">
        <v>95</v>
      </c>
      <c r="I18" s="9">
        <f t="shared" si="97"/>
        <v>0.5</v>
      </c>
      <c r="J18" s="45">
        <f t="shared" si="98"/>
        <v>0.75</v>
      </c>
    </row>
    <row r="19" ht="63">
      <c r="A19" s="38" t="s">
        <v>17</v>
      </c>
      <c r="B19" s="39" t="s">
        <v>362</v>
      </c>
      <c r="C19" s="40" t="s">
        <v>386</v>
      </c>
      <c r="D19" s="39" t="s">
        <v>387</v>
      </c>
      <c r="E19" s="40" t="s">
        <v>390</v>
      </c>
      <c r="F19" s="34" t="s">
        <v>22</v>
      </c>
      <c r="G19" s="35">
        <f t="shared" si="96"/>
        <v>1</v>
      </c>
      <c r="H19" s="9" t="s">
        <v>74</v>
      </c>
      <c r="I19" s="9">
        <f t="shared" si="97"/>
        <v>0</v>
      </c>
      <c r="J19" s="45">
        <f t="shared" si="98"/>
        <v>0.5</v>
      </c>
    </row>
    <row r="20" ht="63">
      <c r="A20" s="38" t="s">
        <v>25</v>
      </c>
      <c r="B20" s="39" t="s">
        <v>362</v>
      </c>
      <c r="C20" s="40" t="s">
        <v>363</v>
      </c>
      <c r="D20" s="39" t="s">
        <v>364</v>
      </c>
      <c r="E20" s="40" t="s">
        <v>365</v>
      </c>
      <c r="F20" s="34" t="s">
        <v>22</v>
      </c>
      <c r="G20" s="35">
        <f t="shared" si="96"/>
        <v>1</v>
      </c>
      <c r="H20" s="9" t="s">
        <v>74</v>
      </c>
      <c r="I20" s="9">
        <f t="shared" si="97"/>
        <v>0</v>
      </c>
      <c r="J20" s="45">
        <f t="shared" si="98"/>
        <v>0.5</v>
      </c>
    </row>
    <row r="21" ht="63">
      <c r="A21" s="38" t="s">
        <v>25</v>
      </c>
      <c r="B21" s="39" t="s">
        <v>362</v>
      </c>
      <c r="C21" s="40" t="s">
        <v>363</v>
      </c>
      <c r="D21" s="39" t="s">
        <v>364</v>
      </c>
      <c r="E21" s="40" t="s">
        <v>366</v>
      </c>
      <c r="F21" s="34" t="s">
        <v>70</v>
      </c>
      <c r="G21" s="35">
        <f t="shared" si="96"/>
        <v>0.5</v>
      </c>
      <c r="H21" s="9" t="s">
        <v>74</v>
      </c>
      <c r="I21" s="9">
        <f t="shared" si="97"/>
        <v>0</v>
      </c>
      <c r="J21" s="45">
        <f t="shared" si="98"/>
        <v>0.25</v>
      </c>
    </row>
    <row r="22" ht="94.5">
      <c r="A22" s="38" t="s">
        <v>25</v>
      </c>
      <c r="B22" s="39" t="s">
        <v>362</v>
      </c>
      <c r="C22" s="40" t="s">
        <v>363</v>
      </c>
      <c r="D22" s="39" t="s">
        <v>364</v>
      </c>
      <c r="E22" s="40" t="s">
        <v>367</v>
      </c>
      <c r="F22" s="34" t="s">
        <v>22</v>
      </c>
      <c r="G22" s="35">
        <f t="shared" si="96"/>
        <v>1</v>
      </c>
      <c r="H22" s="9" t="s">
        <v>95</v>
      </c>
      <c r="I22" s="9">
        <f t="shared" si="97"/>
        <v>0.5</v>
      </c>
      <c r="J22" s="45">
        <f t="shared" si="98"/>
        <v>0.75</v>
      </c>
    </row>
    <row r="23" ht="78.75">
      <c r="A23" s="38" t="s">
        <v>25</v>
      </c>
      <c r="B23" s="39" t="s">
        <v>362</v>
      </c>
      <c r="C23" s="40" t="s">
        <v>363</v>
      </c>
      <c r="D23" s="39" t="s">
        <v>364</v>
      </c>
      <c r="E23" s="40" t="s">
        <v>368</v>
      </c>
      <c r="F23" s="34" t="s">
        <v>22</v>
      </c>
      <c r="G23" s="35">
        <f t="shared" si="96"/>
        <v>1</v>
      </c>
      <c r="H23" s="9" t="s">
        <v>24</v>
      </c>
      <c r="I23" s="9">
        <f t="shared" si="97"/>
        <v>1</v>
      </c>
      <c r="J23" s="45">
        <f t="shared" si="98"/>
        <v>1</v>
      </c>
    </row>
    <row r="24" ht="63">
      <c r="A24" s="38" t="s">
        <v>25</v>
      </c>
      <c r="B24" s="39" t="s">
        <v>362</v>
      </c>
      <c r="C24" s="40" t="s">
        <v>369</v>
      </c>
      <c r="D24" s="39" t="s">
        <v>370</v>
      </c>
      <c r="E24" s="40" t="s">
        <v>371</v>
      </c>
      <c r="F24" s="34" t="s">
        <v>22</v>
      </c>
      <c r="G24" s="35">
        <f t="shared" si="96"/>
        <v>1</v>
      </c>
      <c r="H24" s="9" t="s">
        <v>74</v>
      </c>
      <c r="I24" s="9">
        <f t="shared" si="97"/>
        <v>0</v>
      </c>
      <c r="J24" s="45">
        <f t="shared" si="98"/>
        <v>0.5</v>
      </c>
    </row>
    <row r="25" ht="94.5">
      <c r="A25" s="38" t="s">
        <v>25</v>
      </c>
      <c r="B25" s="39" t="s">
        <v>362</v>
      </c>
      <c r="C25" s="40" t="s">
        <v>369</v>
      </c>
      <c r="D25" s="39" t="s">
        <v>370</v>
      </c>
      <c r="E25" s="40" t="s">
        <v>372</v>
      </c>
      <c r="F25" s="34" t="s">
        <v>22</v>
      </c>
      <c r="G25" s="35">
        <f t="shared" si="96"/>
        <v>1</v>
      </c>
      <c r="H25" s="9" t="s">
        <v>95</v>
      </c>
      <c r="I25" s="9">
        <f t="shared" si="97"/>
        <v>0.5</v>
      </c>
      <c r="J25" s="45">
        <f t="shared" si="98"/>
        <v>0.75</v>
      </c>
    </row>
    <row r="26" ht="94.5">
      <c r="A26" s="38" t="s">
        <v>25</v>
      </c>
      <c r="B26" s="39" t="s">
        <v>362</v>
      </c>
      <c r="C26" s="40" t="s">
        <v>369</v>
      </c>
      <c r="D26" s="39" t="s">
        <v>370</v>
      </c>
      <c r="E26" s="40" t="s">
        <v>373</v>
      </c>
      <c r="F26" s="34" t="s">
        <v>70</v>
      </c>
      <c r="G26" s="35">
        <f t="shared" si="96"/>
        <v>0.5</v>
      </c>
      <c r="H26" s="9" t="s">
        <v>74</v>
      </c>
      <c r="I26" s="9">
        <f t="shared" si="97"/>
        <v>0</v>
      </c>
      <c r="J26" s="45">
        <f t="shared" si="98"/>
        <v>0.25</v>
      </c>
    </row>
    <row r="27" ht="94.5">
      <c r="A27" s="38" t="s">
        <v>25</v>
      </c>
      <c r="B27" s="39" t="s">
        <v>362</v>
      </c>
      <c r="C27" s="40" t="s">
        <v>369</v>
      </c>
      <c r="D27" s="39" t="s">
        <v>370</v>
      </c>
      <c r="E27" s="40" t="s">
        <v>374</v>
      </c>
      <c r="F27" s="34" t="s">
        <v>22</v>
      </c>
      <c r="G27" s="35">
        <f t="shared" si="96"/>
        <v>1</v>
      </c>
      <c r="H27" s="9" t="s">
        <v>95</v>
      </c>
      <c r="I27" s="9">
        <f t="shared" si="97"/>
        <v>0.5</v>
      </c>
      <c r="J27" s="45">
        <f t="shared" si="98"/>
        <v>0.75</v>
      </c>
    </row>
    <row r="28" ht="110.25">
      <c r="A28" s="38" t="s">
        <v>25</v>
      </c>
      <c r="B28" s="39" t="s">
        <v>362</v>
      </c>
      <c r="C28" s="40" t="s">
        <v>375</v>
      </c>
      <c r="D28" s="39" t="s">
        <v>376</v>
      </c>
      <c r="E28" s="40" t="s">
        <v>377</v>
      </c>
      <c r="F28" s="34" t="s">
        <v>70</v>
      </c>
      <c r="G28" s="35">
        <f t="shared" si="96"/>
        <v>0.5</v>
      </c>
      <c r="H28" s="9" t="s">
        <v>74</v>
      </c>
      <c r="I28" s="9">
        <f t="shared" si="97"/>
        <v>0</v>
      </c>
      <c r="J28" s="45">
        <f t="shared" si="98"/>
        <v>0.25</v>
      </c>
    </row>
    <row r="29" ht="94.5">
      <c r="A29" s="38" t="s">
        <v>25</v>
      </c>
      <c r="B29" s="39" t="s">
        <v>362</v>
      </c>
      <c r="C29" s="40" t="s">
        <v>375</v>
      </c>
      <c r="D29" s="39" t="s">
        <v>376</v>
      </c>
      <c r="E29" s="40" t="s">
        <v>378</v>
      </c>
      <c r="F29" s="34" t="s">
        <v>70</v>
      </c>
      <c r="G29" s="35">
        <f t="shared" si="96"/>
        <v>0.5</v>
      </c>
      <c r="H29" s="9" t="s">
        <v>74</v>
      </c>
      <c r="I29" s="9">
        <f t="shared" si="97"/>
        <v>0</v>
      </c>
      <c r="J29" s="45">
        <f t="shared" si="98"/>
        <v>0.25</v>
      </c>
    </row>
    <row r="30" ht="94.5">
      <c r="A30" s="38" t="s">
        <v>25</v>
      </c>
      <c r="B30" s="39" t="s">
        <v>362</v>
      </c>
      <c r="C30" s="40" t="s">
        <v>375</v>
      </c>
      <c r="D30" s="39" t="s">
        <v>376</v>
      </c>
      <c r="E30" s="40" t="s">
        <v>379</v>
      </c>
      <c r="F30" s="34" t="s">
        <v>22</v>
      </c>
      <c r="G30" s="35">
        <f t="shared" si="96"/>
        <v>1</v>
      </c>
      <c r="H30" s="9" t="s">
        <v>24</v>
      </c>
      <c r="I30" s="9">
        <f t="shared" si="97"/>
        <v>1</v>
      </c>
      <c r="J30" s="45">
        <f t="shared" si="98"/>
        <v>1</v>
      </c>
    </row>
    <row r="31" ht="94.5">
      <c r="A31" s="38" t="s">
        <v>25</v>
      </c>
      <c r="B31" s="39" t="s">
        <v>362</v>
      </c>
      <c r="C31" s="40" t="s">
        <v>380</v>
      </c>
      <c r="D31" s="39" t="s">
        <v>381</v>
      </c>
      <c r="E31" s="40" t="s">
        <v>382</v>
      </c>
      <c r="F31" s="34" t="s">
        <v>22</v>
      </c>
      <c r="G31" s="35">
        <f t="shared" si="96"/>
        <v>1</v>
      </c>
      <c r="H31" s="9" t="s">
        <v>24</v>
      </c>
      <c r="I31" s="9">
        <f t="shared" si="97"/>
        <v>1</v>
      </c>
      <c r="J31" s="45">
        <f t="shared" si="98"/>
        <v>1</v>
      </c>
    </row>
    <row r="32" ht="78.75">
      <c r="A32" s="38" t="s">
        <v>25</v>
      </c>
      <c r="B32" s="39" t="s">
        <v>362</v>
      </c>
      <c r="C32" s="40" t="s">
        <v>380</v>
      </c>
      <c r="D32" s="39" t="s">
        <v>381</v>
      </c>
      <c r="E32" s="40" t="s">
        <v>383</v>
      </c>
      <c r="F32" s="34" t="s">
        <v>22</v>
      </c>
      <c r="G32" s="35">
        <f t="shared" si="96"/>
        <v>1</v>
      </c>
      <c r="H32" s="9" t="s">
        <v>24</v>
      </c>
      <c r="I32" s="9">
        <f t="shared" si="97"/>
        <v>1</v>
      </c>
      <c r="J32" s="45">
        <f t="shared" si="98"/>
        <v>1</v>
      </c>
    </row>
    <row r="33" ht="94.5">
      <c r="A33" s="38" t="s">
        <v>25</v>
      </c>
      <c r="B33" s="39" t="s">
        <v>362</v>
      </c>
      <c r="C33" s="40" t="s">
        <v>380</v>
      </c>
      <c r="D33" s="39" t="s">
        <v>381</v>
      </c>
      <c r="E33" s="40" t="s">
        <v>384</v>
      </c>
      <c r="F33" s="34" t="s">
        <v>22</v>
      </c>
      <c r="G33" s="35">
        <f t="shared" si="96"/>
        <v>1</v>
      </c>
      <c r="H33" s="9" t="s">
        <v>24</v>
      </c>
      <c r="I33" s="9">
        <f t="shared" si="97"/>
        <v>1</v>
      </c>
      <c r="J33" s="45">
        <f t="shared" si="98"/>
        <v>1</v>
      </c>
    </row>
    <row r="34" ht="110.25">
      <c r="A34" s="38" t="s">
        <v>25</v>
      </c>
      <c r="B34" s="39" t="s">
        <v>362</v>
      </c>
      <c r="C34" s="40" t="s">
        <v>386</v>
      </c>
      <c r="D34" s="39" t="s">
        <v>387</v>
      </c>
      <c r="E34" s="40" t="s">
        <v>388</v>
      </c>
      <c r="F34" s="34" t="s">
        <v>22</v>
      </c>
      <c r="G34" s="35">
        <f t="shared" si="96"/>
        <v>1</v>
      </c>
      <c r="H34" s="9" t="s">
        <v>24</v>
      </c>
      <c r="I34" s="9">
        <f t="shared" si="97"/>
        <v>1</v>
      </c>
      <c r="J34" s="45">
        <f t="shared" si="98"/>
        <v>1</v>
      </c>
    </row>
    <row r="35" ht="78.75">
      <c r="A35" s="38" t="s">
        <v>25</v>
      </c>
      <c r="B35" s="39" t="s">
        <v>362</v>
      </c>
      <c r="C35" s="40" t="s">
        <v>386</v>
      </c>
      <c r="D35" s="39" t="s">
        <v>387</v>
      </c>
      <c r="E35" s="40" t="s">
        <v>389</v>
      </c>
      <c r="F35" s="34" t="s">
        <v>70</v>
      </c>
      <c r="G35" s="35">
        <f t="shared" si="96"/>
        <v>0.5</v>
      </c>
      <c r="H35" s="9" t="s">
        <v>391</v>
      </c>
      <c r="I35" s="9" t="str">
        <f t="shared" si="97"/>
        <v/>
      </c>
      <c r="J35" s="45">
        <f t="shared" si="98"/>
        <v>0.5</v>
      </c>
    </row>
    <row r="36" ht="63">
      <c r="A36" s="38" t="s">
        <v>25</v>
      </c>
      <c r="B36" s="39" t="s">
        <v>362</v>
      </c>
      <c r="C36" s="40" t="s">
        <v>386</v>
      </c>
      <c r="D36" s="39" t="s">
        <v>387</v>
      </c>
      <c r="E36" s="40" t="s">
        <v>390</v>
      </c>
      <c r="F36" s="34" t="s">
        <v>22</v>
      </c>
      <c r="G36" s="35">
        <f t="shared" si="96"/>
        <v>1</v>
      </c>
      <c r="H36" s="9" t="s">
        <v>24</v>
      </c>
      <c r="I36" s="9">
        <f t="shared" si="97"/>
        <v>1</v>
      </c>
      <c r="J36" s="45">
        <f t="shared" si="98"/>
        <v>1</v>
      </c>
    </row>
    <row r="37" ht="63">
      <c r="A37" s="47" t="s">
        <v>29</v>
      </c>
      <c r="B37" s="39" t="s">
        <v>362</v>
      </c>
      <c r="C37" s="40" t="s">
        <v>363</v>
      </c>
      <c r="D37" s="39" t="s">
        <v>364</v>
      </c>
      <c r="E37" s="40" t="s">
        <v>365</v>
      </c>
      <c r="F37" s="34" t="s">
        <v>22</v>
      </c>
      <c r="G37" s="35">
        <f t="shared" si="96"/>
        <v>1</v>
      </c>
      <c r="H37" s="9" t="s">
        <v>95</v>
      </c>
      <c r="I37" s="9">
        <f t="shared" si="97"/>
        <v>0.5</v>
      </c>
      <c r="J37" s="45">
        <f t="shared" si="98"/>
        <v>0.75</v>
      </c>
    </row>
    <row r="38" ht="63">
      <c r="A38" s="47" t="s">
        <v>29</v>
      </c>
      <c r="B38" s="39" t="s">
        <v>362</v>
      </c>
      <c r="C38" s="40" t="s">
        <v>363</v>
      </c>
      <c r="D38" s="39" t="s">
        <v>364</v>
      </c>
      <c r="E38" s="40" t="s">
        <v>366</v>
      </c>
      <c r="F38" s="34" t="s">
        <v>70</v>
      </c>
      <c r="G38" s="35">
        <f t="shared" si="96"/>
        <v>0.5</v>
      </c>
      <c r="H38" s="9" t="s">
        <v>392</v>
      </c>
      <c r="I38" s="9" t="str">
        <f t="shared" si="97"/>
        <v/>
      </c>
      <c r="J38" s="45">
        <f t="shared" si="98"/>
        <v>0.5</v>
      </c>
    </row>
    <row r="39" ht="94.5">
      <c r="A39" s="47" t="s">
        <v>29</v>
      </c>
      <c r="B39" s="39" t="s">
        <v>362</v>
      </c>
      <c r="C39" s="40" t="s">
        <v>363</v>
      </c>
      <c r="D39" s="39" t="s">
        <v>364</v>
      </c>
      <c r="E39" s="40" t="s">
        <v>367</v>
      </c>
      <c r="F39" s="34" t="s">
        <v>70</v>
      </c>
      <c r="G39" s="35">
        <f t="shared" si="96"/>
        <v>0.5</v>
      </c>
      <c r="H39" s="9" t="s">
        <v>392</v>
      </c>
      <c r="I39" s="9" t="str">
        <f t="shared" si="97"/>
        <v/>
      </c>
      <c r="J39" s="45">
        <f t="shared" si="98"/>
        <v>0.5</v>
      </c>
    </row>
    <row r="40" ht="78.75">
      <c r="A40" s="47" t="s">
        <v>29</v>
      </c>
      <c r="B40" s="39" t="s">
        <v>362</v>
      </c>
      <c r="C40" s="40" t="s">
        <v>363</v>
      </c>
      <c r="D40" s="39" t="s">
        <v>364</v>
      </c>
      <c r="E40" s="40" t="s">
        <v>368</v>
      </c>
      <c r="F40" s="34" t="s">
        <v>22</v>
      </c>
      <c r="G40" s="35">
        <f t="shared" si="96"/>
        <v>1</v>
      </c>
      <c r="H40" s="9" t="s">
        <v>24</v>
      </c>
      <c r="I40" s="9">
        <f t="shared" si="97"/>
        <v>1</v>
      </c>
      <c r="J40" s="45">
        <f t="shared" si="98"/>
        <v>1</v>
      </c>
    </row>
    <row r="41" ht="63">
      <c r="A41" s="47" t="s">
        <v>29</v>
      </c>
      <c r="B41" s="39" t="s">
        <v>362</v>
      </c>
      <c r="C41" s="40" t="s">
        <v>369</v>
      </c>
      <c r="D41" s="39" t="s">
        <v>370</v>
      </c>
      <c r="E41" s="40" t="s">
        <v>371</v>
      </c>
      <c r="F41" s="34" t="s">
        <v>53</v>
      </c>
      <c r="G41" s="35">
        <f t="shared" si="96"/>
        <v>0</v>
      </c>
      <c r="H41" s="9" t="s">
        <v>393</v>
      </c>
      <c r="I41" s="9" t="str">
        <f t="shared" si="97"/>
        <v/>
      </c>
      <c r="J41" s="45">
        <f t="shared" si="98"/>
        <v>0</v>
      </c>
    </row>
    <row r="42" ht="94.5">
      <c r="A42" s="47" t="s">
        <v>29</v>
      </c>
      <c r="B42" s="39" t="s">
        <v>362</v>
      </c>
      <c r="C42" s="40" t="s">
        <v>369</v>
      </c>
      <c r="D42" s="39" t="s">
        <v>370</v>
      </c>
      <c r="E42" s="40" t="s">
        <v>372</v>
      </c>
      <c r="F42" s="34" t="s">
        <v>22</v>
      </c>
      <c r="G42" s="35">
        <f t="shared" si="96"/>
        <v>1</v>
      </c>
      <c r="H42" s="9" t="s">
        <v>95</v>
      </c>
      <c r="I42" s="9">
        <f t="shared" si="97"/>
        <v>0.5</v>
      </c>
      <c r="J42" s="45">
        <f t="shared" si="98"/>
        <v>0.75</v>
      </c>
    </row>
    <row r="43" ht="94.5">
      <c r="A43" s="47" t="s">
        <v>29</v>
      </c>
      <c r="B43" s="39" t="s">
        <v>362</v>
      </c>
      <c r="C43" s="40" t="s">
        <v>369</v>
      </c>
      <c r="D43" s="39" t="s">
        <v>370</v>
      </c>
      <c r="E43" s="40" t="s">
        <v>373</v>
      </c>
      <c r="F43" s="34" t="s">
        <v>22</v>
      </c>
      <c r="G43" s="35">
        <f t="shared" si="96"/>
        <v>1</v>
      </c>
      <c r="H43" s="9" t="s">
        <v>95</v>
      </c>
      <c r="I43" s="9">
        <f t="shared" si="97"/>
        <v>0.5</v>
      </c>
      <c r="J43" s="45">
        <f t="shared" si="98"/>
        <v>0.75</v>
      </c>
    </row>
    <row r="44" ht="94.5">
      <c r="A44" s="47" t="s">
        <v>29</v>
      </c>
      <c r="B44" s="39" t="s">
        <v>362</v>
      </c>
      <c r="C44" s="40" t="s">
        <v>369</v>
      </c>
      <c r="D44" s="39" t="s">
        <v>370</v>
      </c>
      <c r="E44" s="40" t="s">
        <v>374</v>
      </c>
      <c r="F44" s="34" t="s">
        <v>22</v>
      </c>
      <c r="G44" s="35">
        <f t="shared" si="96"/>
        <v>1</v>
      </c>
      <c r="H44" s="9" t="s">
        <v>95</v>
      </c>
      <c r="I44" s="9">
        <f t="shared" si="97"/>
        <v>0.5</v>
      </c>
      <c r="J44" s="45">
        <f t="shared" si="98"/>
        <v>0.75</v>
      </c>
    </row>
    <row r="45" ht="110.25">
      <c r="A45" s="47" t="s">
        <v>29</v>
      </c>
      <c r="B45" s="39" t="s">
        <v>362</v>
      </c>
      <c r="C45" s="40" t="s">
        <v>375</v>
      </c>
      <c r="D45" s="39" t="s">
        <v>376</v>
      </c>
      <c r="E45" s="40" t="s">
        <v>377</v>
      </c>
      <c r="F45" s="34" t="s">
        <v>22</v>
      </c>
      <c r="G45" s="35">
        <f t="shared" si="96"/>
        <v>1</v>
      </c>
      <c r="H45" s="9" t="s">
        <v>24</v>
      </c>
      <c r="I45" s="9">
        <f t="shared" si="97"/>
        <v>1</v>
      </c>
      <c r="J45" s="45">
        <f t="shared" si="98"/>
        <v>1</v>
      </c>
    </row>
    <row r="46" ht="94.5">
      <c r="A46" s="47" t="s">
        <v>29</v>
      </c>
      <c r="B46" s="39" t="s">
        <v>362</v>
      </c>
      <c r="C46" s="40" t="s">
        <v>375</v>
      </c>
      <c r="D46" s="39" t="s">
        <v>376</v>
      </c>
      <c r="E46" s="40" t="s">
        <v>378</v>
      </c>
      <c r="F46" s="34" t="s">
        <v>53</v>
      </c>
      <c r="G46" s="35">
        <f t="shared" si="96"/>
        <v>0</v>
      </c>
      <c r="H46" s="9" t="s">
        <v>393</v>
      </c>
      <c r="I46" s="9" t="str">
        <f t="shared" si="97"/>
        <v/>
      </c>
      <c r="J46" s="45">
        <f t="shared" si="98"/>
        <v>0</v>
      </c>
    </row>
    <row r="47" ht="94.5">
      <c r="A47" s="47" t="s">
        <v>29</v>
      </c>
      <c r="B47" s="39" t="s">
        <v>362</v>
      </c>
      <c r="C47" s="40" t="s">
        <v>375</v>
      </c>
      <c r="D47" s="39" t="s">
        <v>376</v>
      </c>
      <c r="E47" s="40" t="s">
        <v>379</v>
      </c>
      <c r="F47" s="34" t="s">
        <v>22</v>
      </c>
      <c r="G47" s="35">
        <f t="shared" si="96"/>
        <v>1</v>
      </c>
      <c r="H47" s="9" t="s">
        <v>24</v>
      </c>
      <c r="I47" s="9">
        <f t="shared" si="97"/>
        <v>1</v>
      </c>
      <c r="J47" s="45">
        <f t="shared" si="98"/>
        <v>1</v>
      </c>
    </row>
    <row r="48" ht="94.5">
      <c r="A48" s="47" t="s">
        <v>29</v>
      </c>
      <c r="B48" s="39" t="s">
        <v>362</v>
      </c>
      <c r="C48" s="40" t="s">
        <v>380</v>
      </c>
      <c r="D48" s="39" t="s">
        <v>381</v>
      </c>
      <c r="E48" s="40" t="s">
        <v>382</v>
      </c>
      <c r="F48" s="34" t="s">
        <v>22</v>
      </c>
      <c r="G48" s="35">
        <f t="shared" si="96"/>
        <v>1</v>
      </c>
      <c r="H48" s="9" t="s">
        <v>24</v>
      </c>
      <c r="I48" s="9">
        <f t="shared" si="97"/>
        <v>1</v>
      </c>
      <c r="J48" s="45">
        <f t="shared" si="98"/>
        <v>1</v>
      </c>
    </row>
    <row r="49" ht="78.75">
      <c r="A49" s="47" t="s">
        <v>29</v>
      </c>
      <c r="B49" s="39" t="s">
        <v>362</v>
      </c>
      <c r="C49" s="40" t="s">
        <v>380</v>
      </c>
      <c r="D49" s="39" t="s">
        <v>381</v>
      </c>
      <c r="E49" s="40" t="s">
        <v>383</v>
      </c>
      <c r="F49" s="34" t="s">
        <v>22</v>
      </c>
      <c r="G49" s="35">
        <f t="shared" si="96"/>
        <v>1</v>
      </c>
      <c r="H49" s="9" t="s">
        <v>24</v>
      </c>
      <c r="I49" s="9">
        <f t="shared" si="97"/>
        <v>1</v>
      </c>
      <c r="J49" s="45">
        <f t="shared" si="98"/>
        <v>1</v>
      </c>
    </row>
    <row r="50" ht="94.5">
      <c r="A50" s="47" t="s">
        <v>29</v>
      </c>
      <c r="B50" s="39" t="s">
        <v>362</v>
      </c>
      <c r="C50" s="40" t="s">
        <v>380</v>
      </c>
      <c r="D50" s="39" t="s">
        <v>381</v>
      </c>
      <c r="E50" s="40" t="s">
        <v>384</v>
      </c>
      <c r="F50" s="34" t="s">
        <v>22</v>
      </c>
      <c r="G50" s="35">
        <f t="shared" si="96"/>
        <v>1</v>
      </c>
      <c r="H50" s="9" t="s">
        <v>24</v>
      </c>
      <c r="I50" s="9">
        <f t="shared" si="97"/>
        <v>1</v>
      </c>
      <c r="J50" s="45">
        <f t="shared" si="98"/>
        <v>1</v>
      </c>
    </row>
    <row r="51" ht="110.25">
      <c r="A51" s="47" t="s">
        <v>29</v>
      </c>
      <c r="B51" s="39" t="s">
        <v>362</v>
      </c>
      <c r="C51" s="40" t="s">
        <v>386</v>
      </c>
      <c r="D51" s="39" t="s">
        <v>387</v>
      </c>
      <c r="E51" s="40" t="s">
        <v>388</v>
      </c>
      <c r="F51" s="34" t="s">
        <v>53</v>
      </c>
      <c r="G51" s="35">
        <f t="shared" si="96"/>
        <v>0</v>
      </c>
      <c r="H51" s="9" t="s">
        <v>393</v>
      </c>
      <c r="I51" s="9" t="str">
        <f t="shared" si="97"/>
        <v/>
      </c>
      <c r="J51" s="45">
        <f t="shared" si="98"/>
        <v>0</v>
      </c>
    </row>
    <row r="52" ht="78.75">
      <c r="A52" s="47" t="s">
        <v>29</v>
      </c>
      <c r="B52" s="39" t="s">
        <v>362</v>
      </c>
      <c r="C52" s="40" t="s">
        <v>386</v>
      </c>
      <c r="D52" s="39" t="s">
        <v>387</v>
      </c>
      <c r="E52" s="40" t="s">
        <v>389</v>
      </c>
      <c r="F52" s="34" t="s">
        <v>70</v>
      </c>
      <c r="G52" s="35">
        <f t="shared" si="96"/>
        <v>0.5</v>
      </c>
      <c r="H52" s="9" t="s">
        <v>391</v>
      </c>
      <c r="I52" s="9" t="str">
        <f t="shared" si="97"/>
        <v/>
      </c>
      <c r="J52" s="45">
        <f t="shared" si="98"/>
        <v>0.5</v>
      </c>
    </row>
    <row r="53" ht="63">
      <c r="A53" s="47" t="s">
        <v>29</v>
      </c>
      <c r="B53" s="39" t="s">
        <v>362</v>
      </c>
      <c r="C53" s="40" t="s">
        <v>386</v>
      </c>
      <c r="D53" s="39" t="s">
        <v>387</v>
      </c>
      <c r="E53" s="40" t="s">
        <v>390</v>
      </c>
      <c r="F53" s="34" t="s">
        <v>70</v>
      </c>
      <c r="G53" s="35">
        <f t="shared" si="96"/>
        <v>0.5</v>
      </c>
      <c r="H53" s="9" t="s">
        <v>391</v>
      </c>
      <c r="I53" s="9" t="str">
        <f t="shared" si="97"/>
        <v/>
      </c>
      <c r="J53" s="45">
        <f t="shared" si="98"/>
        <v>0.5</v>
      </c>
    </row>
    <row r="54" ht="63">
      <c r="A54" s="47" t="s">
        <v>32</v>
      </c>
      <c r="B54" s="39" t="s">
        <v>362</v>
      </c>
      <c r="C54" s="40" t="s">
        <v>363</v>
      </c>
      <c r="D54" s="39" t="s">
        <v>364</v>
      </c>
      <c r="E54" s="40" t="s">
        <v>365</v>
      </c>
      <c r="F54" s="34" t="s">
        <v>22</v>
      </c>
      <c r="G54" s="35">
        <f t="shared" si="96"/>
        <v>1</v>
      </c>
      <c r="H54" s="9" t="s">
        <v>24</v>
      </c>
      <c r="I54" s="9">
        <f t="shared" si="97"/>
        <v>1</v>
      </c>
      <c r="J54" s="45">
        <f t="shared" si="98"/>
        <v>1</v>
      </c>
    </row>
    <row r="55" ht="63">
      <c r="A55" s="47" t="s">
        <v>32</v>
      </c>
      <c r="B55" s="39" t="s">
        <v>362</v>
      </c>
      <c r="C55" s="40" t="s">
        <v>363</v>
      </c>
      <c r="D55" s="39" t="s">
        <v>364</v>
      </c>
      <c r="E55" s="40" t="s">
        <v>366</v>
      </c>
      <c r="F55" s="34" t="s">
        <v>70</v>
      </c>
      <c r="G55" s="35">
        <f t="shared" si="96"/>
        <v>0.5</v>
      </c>
      <c r="H55" s="9" t="s">
        <v>392</v>
      </c>
      <c r="I55" s="9" t="str">
        <f t="shared" si="97"/>
        <v/>
      </c>
      <c r="J55" s="45">
        <f t="shared" si="98"/>
        <v>0.5</v>
      </c>
    </row>
    <row r="56" ht="94.5">
      <c r="A56" s="47" t="s">
        <v>32</v>
      </c>
      <c r="B56" s="39" t="s">
        <v>362</v>
      </c>
      <c r="C56" s="40" t="s">
        <v>363</v>
      </c>
      <c r="D56" s="39" t="s">
        <v>364</v>
      </c>
      <c r="E56" s="40" t="s">
        <v>367</v>
      </c>
      <c r="F56" s="34" t="s">
        <v>22</v>
      </c>
      <c r="G56" s="35">
        <f t="shared" si="96"/>
        <v>1</v>
      </c>
      <c r="H56" s="9" t="s">
        <v>24</v>
      </c>
      <c r="I56" s="9">
        <f t="shared" si="97"/>
        <v>1</v>
      </c>
      <c r="J56" s="45">
        <f t="shared" si="98"/>
        <v>1</v>
      </c>
    </row>
    <row r="57" ht="78.75">
      <c r="A57" s="47" t="s">
        <v>32</v>
      </c>
      <c r="B57" s="39" t="s">
        <v>362</v>
      </c>
      <c r="C57" s="40" t="s">
        <v>363</v>
      </c>
      <c r="D57" s="39" t="s">
        <v>364</v>
      </c>
      <c r="E57" s="40" t="s">
        <v>368</v>
      </c>
      <c r="F57" s="34" t="s">
        <v>22</v>
      </c>
      <c r="G57" s="35">
        <f t="shared" si="96"/>
        <v>1</v>
      </c>
      <c r="H57" s="9" t="s">
        <v>24</v>
      </c>
      <c r="I57" s="9">
        <f t="shared" si="97"/>
        <v>1</v>
      </c>
      <c r="J57" s="45">
        <f t="shared" si="98"/>
        <v>1</v>
      </c>
    </row>
    <row r="58" ht="63">
      <c r="A58" s="47" t="s">
        <v>32</v>
      </c>
      <c r="B58" s="39" t="s">
        <v>362</v>
      </c>
      <c r="C58" s="40" t="s">
        <v>369</v>
      </c>
      <c r="D58" s="39" t="s">
        <v>370</v>
      </c>
      <c r="E58" s="40" t="s">
        <v>371</v>
      </c>
      <c r="F58" s="34" t="s">
        <v>53</v>
      </c>
      <c r="G58" s="35">
        <f t="shared" si="96"/>
        <v>0</v>
      </c>
      <c r="H58" s="9" t="s">
        <v>393</v>
      </c>
      <c r="I58" s="9" t="str">
        <f t="shared" si="97"/>
        <v/>
      </c>
      <c r="J58" s="45">
        <f t="shared" si="98"/>
        <v>0</v>
      </c>
    </row>
    <row r="59" ht="94.5">
      <c r="A59" s="47" t="s">
        <v>32</v>
      </c>
      <c r="B59" s="39" t="s">
        <v>362</v>
      </c>
      <c r="C59" s="40" t="s">
        <v>369</v>
      </c>
      <c r="D59" s="39" t="s">
        <v>370</v>
      </c>
      <c r="E59" s="40" t="s">
        <v>372</v>
      </c>
      <c r="F59" s="34" t="s">
        <v>22</v>
      </c>
      <c r="G59" s="35">
        <f t="shared" si="96"/>
        <v>1</v>
      </c>
      <c r="H59" s="9" t="s">
        <v>95</v>
      </c>
      <c r="I59" s="9">
        <f t="shared" si="97"/>
        <v>0.5</v>
      </c>
      <c r="J59" s="45">
        <f t="shared" si="98"/>
        <v>0.75</v>
      </c>
    </row>
    <row r="60" ht="94.5">
      <c r="A60" s="47" t="s">
        <v>32</v>
      </c>
      <c r="B60" s="39" t="s">
        <v>362</v>
      </c>
      <c r="C60" s="40" t="s">
        <v>369</v>
      </c>
      <c r="D60" s="39" t="s">
        <v>370</v>
      </c>
      <c r="E60" s="40" t="s">
        <v>373</v>
      </c>
      <c r="F60" s="34" t="s">
        <v>70</v>
      </c>
      <c r="G60" s="35">
        <f t="shared" si="96"/>
        <v>0.5</v>
      </c>
      <c r="H60" s="9" t="s">
        <v>74</v>
      </c>
      <c r="I60" s="9">
        <f t="shared" si="97"/>
        <v>0</v>
      </c>
      <c r="J60" s="45">
        <f t="shared" si="98"/>
        <v>0.25</v>
      </c>
    </row>
    <row r="61" ht="94.5">
      <c r="A61" s="47" t="s">
        <v>32</v>
      </c>
      <c r="B61" s="39" t="s">
        <v>362</v>
      </c>
      <c r="C61" s="40" t="s">
        <v>369</v>
      </c>
      <c r="D61" s="39" t="s">
        <v>370</v>
      </c>
      <c r="E61" s="40" t="s">
        <v>374</v>
      </c>
      <c r="F61" s="34" t="s">
        <v>22</v>
      </c>
      <c r="G61" s="35">
        <f t="shared" si="96"/>
        <v>1</v>
      </c>
      <c r="H61" s="9" t="s">
        <v>95</v>
      </c>
      <c r="I61" s="9">
        <f t="shared" si="97"/>
        <v>0.5</v>
      </c>
      <c r="J61" s="45">
        <f t="shared" si="98"/>
        <v>0.75</v>
      </c>
    </row>
    <row r="62" ht="110.25">
      <c r="A62" s="47" t="s">
        <v>32</v>
      </c>
      <c r="B62" s="39" t="s">
        <v>362</v>
      </c>
      <c r="C62" s="40" t="s">
        <v>375</v>
      </c>
      <c r="D62" s="39" t="s">
        <v>376</v>
      </c>
      <c r="E62" s="40" t="s">
        <v>377</v>
      </c>
      <c r="F62" s="34" t="s">
        <v>22</v>
      </c>
      <c r="G62" s="35">
        <f t="shared" si="96"/>
        <v>1</v>
      </c>
      <c r="H62" s="9" t="s">
        <v>24</v>
      </c>
      <c r="I62" s="9">
        <f t="shared" si="97"/>
        <v>1</v>
      </c>
      <c r="J62" s="45">
        <f t="shared" si="98"/>
        <v>1</v>
      </c>
    </row>
    <row r="63" ht="94.5">
      <c r="A63" s="47" t="s">
        <v>32</v>
      </c>
      <c r="B63" s="39" t="s">
        <v>362</v>
      </c>
      <c r="C63" s="40" t="s">
        <v>375</v>
      </c>
      <c r="D63" s="39" t="s">
        <v>376</v>
      </c>
      <c r="E63" s="40" t="s">
        <v>378</v>
      </c>
      <c r="F63" s="34" t="s">
        <v>22</v>
      </c>
      <c r="G63" s="35">
        <f t="shared" si="96"/>
        <v>1</v>
      </c>
      <c r="H63" s="9" t="s">
        <v>24</v>
      </c>
      <c r="I63" s="9">
        <f t="shared" si="97"/>
        <v>1</v>
      </c>
      <c r="J63" s="45">
        <f t="shared" si="98"/>
        <v>1</v>
      </c>
    </row>
    <row r="64" ht="94.5">
      <c r="A64" s="47" t="s">
        <v>32</v>
      </c>
      <c r="B64" s="39" t="s">
        <v>362</v>
      </c>
      <c r="C64" s="40" t="s">
        <v>375</v>
      </c>
      <c r="D64" s="39" t="s">
        <v>376</v>
      </c>
      <c r="E64" s="40" t="s">
        <v>379</v>
      </c>
      <c r="F64" s="34" t="s">
        <v>22</v>
      </c>
      <c r="G64" s="35">
        <f t="shared" si="96"/>
        <v>1</v>
      </c>
      <c r="H64" s="9" t="s">
        <v>24</v>
      </c>
      <c r="I64" s="9">
        <f t="shared" si="97"/>
        <v>1</v>
      </c>
      <c r="J64" s="45">
        <f t="shared" si="98"/>
        <v>1</v>
      </c>
    </row>
    <row r="65" ht="126">
      <c r="A65" s="47" t="s">
        <v>32</v>
      </c>
      <c r="B65" s="39" t="s">
        <v>362</v>
      </c>
      <c r="C65" s="40" t="s">
        <v>380</v>
      </c>
      <c r="D65" s="39" t="s">
        <v>381</v>
      </c>
      <c r="E65" s="40" t="s">
        <v>382</v>
      </c>
      <c r="F65" s="34" t="s">
        <v>22</v>
      </c>
      <c r="G65" s="35">
        <f t="shared" si="96"/>
        <v>1</v>
      </c>
      <c r="H65" s="9" t="s">
        <v>24</v>
      </c>
      <c r="I65" s="9">
        <f t="shared" si="97"/>
        <v>1</v>
      </c>
      <c r="J65" s="45">
        <f t="shared" si="98"/>
        <v>1</v>
      </c>
    </row>
    <row r="66" ht="108">
      <c r="A66" s="47" t="s">
        <v>32</v>
      </c>
      <c r="B66" s="39" t="s">
        <v>362</v>
      </c>
      <c r="C66" s="40" t="s">
        <v>380</v>
      </c>
      <c r="D66" s="39" t="s">
        <v>381</v>
      </c>
      <c r="E66" s="40" t="s">
        <v>383</v>
      </c>
      <c r="F66" s="34" t="s">
        <v>22</v>
      </c>
      <c r="G66" s="35">
        <f t="shared" si="96"/>
        <v>1</v>
      </c>
      <c r="H66" s="9" t="s">
        <v>24</v>
      </c>
      <c r="I66" s="9">
        <f t="shared" si="97"/>
        <v>1</v>
      </c>
      <c r="J66" s="45">
        <f t="shared" si="98"/>
        <v>1</v>
      </c>
    </row>
    <row r="67" ht="126">
      <c r="A67" s="47" t="s">
        <v>32</v>
      </c>
      <c r="B67" s="39" t="s">
        <v>362</v>
      </c>
      <c r="C67" s="40" t="s">
        <v>380</v>
      </c>
      <c r="D67" s="39" t="s">
        <v>381</v>
      </c>
      <c r="E67" s="40" t="s">
        <v>384</v>
      </c>
      <c r="F67" s="34" t="s">
        <v>22</v>
      </c>
      <c r="G67" s="35">
        <f t="shared" ref="G67" si="103">IF(F67="Cumple",1,IF(F67="Cumple Parcialmente",0.5,IF(F67="No Cumple",0,"")))</f>
        <v>1</v>
      </c>
      <c r="H67" s="9" t="s">
        <v>24</v>
      </c>
      <c r="I67" s="9">
        <f t="shared" ref="I67" si="104">IF(H67="Cumple",1,IF(H67="Cumple Parcialmente",0.5,IF(H67="No Cumple",0,"")))</f>
        <v>1</v>
      </c>
      <c r="J67" s="45">
        <f t="shared" ref="J67" si="105">AVERAGE(G67,I67)</f>
        <v>1</v>
      </c>
    </row>
    <row r="68" ht="144">
      <c r="A68" s="47" t="s">
        <v>32</v>
      </c>
      <c r="B68" s="39" t="s">
        <v>362</v>
      </c>
      <c r="C68" s="40" t="s">
        <v>386</v>
      </c>
      <c r="D68" s="39" t="s">
        <v>387</v>
      </c>
      <c r="E68" s="40" t="s">
        <v>388</v>
      </c>
      <c r="F68" s="34" t="s">
        <v>22</v>
      </c>
      <c r="G68" s="35">
        <f t="shared" ref="G68:G121" si="106">IF(F68="Cumple",1,IF(F68="Cumple Parcialmente",0.5,IF(F68="No Cumple",0,"")))</f>
        <v>1</v>
      </c>
      <c r="H68" s="9" t="s">
        <v>24</v>
      </c>
      <c r="I68" s="9">
        <f t="shared" ref="I68:I120" si="107">IF(H68="Cumple",1,IF(H68="Cumple Parcialmente",0.5,IF(H68="No Cumple",0,"")))</f>
        <v>1</v>
      </c>
      <c r="J68" s="45">
        <f t="shared" ref="J68:J121" si="108">AVERAGE(G68,I68)</f>
        <v>1</v>
      </c>
    </row>
    <row r="69" ht="108">
      <c r="A69" s="47" t="s">
        <v>32</v>
      </c>
      <c r="B69" s="39" t="s">
        <v>362</v>
      </c>
      <c r="C69" s="40" t="s">
        <v>386</v>
      </c>
      <c r="D69" s="39" t="s">
        <v>387</v>
      </c>
      <c r="E69" s="40" t="s">
        <v>389</v>
      </c>
      <c r="F69" s="34" t="s">
        <v>22</v>
      </c>
      <c r="G69" s="35">
        <f t="shared" si="106"/>
        <v>1</v>
      </c>
      <c r="H69" s="9" t="s">
        <v>24</v>
      </c>
      <c r="I69" s="9">
        <f t="shared" si="107"/>
        <v>1</v>
      </c>
      <c r="J69" s="45">
        <f t="shared" si="108"/>
        <v>1</v>
      </c>
    </row>
    <row r="70" ht="90">
      <c r="A70" s="47" t="s">
        <v>32</v>
      </c>
      <c r="B70" s="39" t="s">
        <v>362</v>
      </c>
      <c r="C70" s="40" t="s">
        <v>386</v>
      </c>
      <c r="D70" s="39" t="s">
        <v>387</v>
      </c>
      <c r="E70" s="40" t="s">
        <v>390</v>
      </c>
      <c r="F70" s="34" t="s">
        <v>70</v>
      </c>
      <c r="G70" s="35">
        <f t="shared" si="106"/>
        <v>0.5</v>
      </c>
      <c r="H70" s="9" t="s">
        <v>391</v>
      </c>
      <c r="I70" s="9" t="str">
        <f t="shared" si="107"/>
        <v/>
      </c>
      <c r="J70" s="45">
        <f t="shared" si="108"/>
        <v>0.5</v>
      </c>
    </row>
    <row r="71" ht="90">
      <c r="A71" s="48" t="s">
        <v>36</v>
      </c>
      <c r="B71" s="39" t="s">
        <v>362</v>
      </c>
      <c r="C71" s="40" t="s">
        <v>363</v>
      </c>
      <c r="D71" s="39" t="s">
        <v>364</v>
      </c>
      <c r="E71" s="40" t="s">
        <v>365</v>
      </c>
      <c r="F71" s="34" t="s">
        <v>22</v>
      </c>
      <c r="G71" s="35">
        <f t="shared" si="106"/>
        <v>1</v>
      </c>
      <c r="H71" s="9" t="s">
        <v>24</v>
      </c>
      <c r="I71" s="9">
        <f t="shared" si="107"/>
        <v>1</v>
      </c>
      <c r="J71" s="45">
        <f t="shared" si="108"/>
        <v>1</v>
      </c>
    </row>
    <row r="72" ht="72">
      <c r="A72" s="48" t="s">
        <v>36</v>
      </c>
      <c r="B72" s="39" t="s">
        <v>362</v>
      </c>
      <c r="C72" s="40" t="s">
        <v>363</v>
      </c>
      <c r="D72" s="39" t="s">
        <v>364</v>
      </c>
      <c r="E72" s="40" t="s">
        <v>366</v>
      </c>
      <c r="F72" s="34" t="s">
        <v>22</v>
      </c>
      <c r="G72" s="35">
        <f t="shared" si="106"/>
        <v>1</v>
      </c>
      <c r="H72" s="9" t="s">
        <v>24</v>
      </c>
      <c r="I72" s="9">
        <f t="shared" si="107"/>
        <v>1</v>
      </c>
      <c r="J72" s="45">
        <f t="shared" si="108"/>
        <v>1</v>
      </c>
    </row>
    <row r="73" ht="144">
      <c r="A73" s="48" t="s">
        <v>36</v>
      </c>
      <c r="B73" s="39" t="s">
        <v>362</v>
      </c>
      <c r="C73" s="40" t="s">
        <v>363</v>
      </c>
      <c r="D73" s="39" t="s">
        <v>364</v>
      </c>
      <c r="E73" s="40" t="s">
        <v>367</v>
      </c>
      <c r="F73" s="34" t="s">
        <v>22</v>
      </c>
      <c r="G73" s="35">
        <f t="shared" si="106"/>
        <v>1</v>
      </c>
      <c r="H73" s="9" t="s">
        <v>24</v>
      </c>
      <c r="I73" s="9">
        <f t="shared" si="107"/>
        <v>1</v>
      </c>
      <c r="J73" s="45">
        <f t="shared" si="108"/>
        <v>1</v>
      </c>
    </row>
    <row r="74" ht="108">
      <c r="A74" s="48" t="s">
        <v>36</v>
      </c>
      <c r="B74" s="39" t="s">
        <v>362</v>
      </c>
      <c r="C74" s="40" t="s">
        <v>363</v>
      </c>
      <c r="D74" s="39" t="s">
        <v>364</v>
      </c>
      <c r="E74" s="40" t="s">
        <v>368</v>
      </c>
      <c r="F74" s="34" t="s">
        <v>22</v>
      </c>
      <c r="G74" s="35">
        <f t="shared" si="106"/>
        <v>1</v>
      </c>
      <c r="H74" s="9" t="s">
        <v>24</v>
      </c>
      <c r="I74" s="9">
        <f t="shared" si="107"/>
        <v>1</v>
      </c>
      <c r="J74" s="45">
        <f t="shared" si="108"/>
        <v>1</v>
      </c>
    </row>
    <row r="75" ht="90">
      <c r="A75" s="48" t="s">
        <v>36</v>
      </c>
      <c r="B75" s="39" t="s">
        <v>362</v>
      </c>
      <c r="C75" s="40" t="s">
        <v>369</v>
      </c>
      <c r="D75" s="39" t="s">
        <v>370</v>
      </c>
      <c r="E75" s="40" t="s">
        <v>371</v>
      </c>
      <c r="F75" s="34" t="s">
        <v>53</v>
      </c>
      <c r="G75" s="35">
        <f t="shared" si="106"/>
        <v>0</v>
      </c>
      <c r="H75" s="9" t="s">
        <v>393</v>
      </c>
      <c r="I75" s="9" t="str">
        <f t="shared" si="107"/>
        <v/>
      </c>
      <c r="J75" s="45">
        <f t="shared" si="108"/>
        <v>0</v>
      </c>
    </row>
    <row r="76" ht="126">
      <c r="A76" s="48" t="s">
        <v>36</v>
      </c>
      <c r="B76" s="39" t="s">
        <v>362</v>
      </c>
      <c r="C76" s="40" t="s">
        <v>369</v>
      </c>
      <c r="D76" s="39" t="s">
        <v>370</v>
      </c>
      <c r="E76" s="40" t="s">
        <v>372</v>
      </c>
      <c r="F76" s="34" t="s">
        <v>22</v>
      </c>
      <c r="G76" s="35">
        <f t="shared" si="106"/>
        <v>1</v>
      </c>
      <c r="H76" s="9" t="s">
        <v>95</v>
      </c>
      <c r="I76" s="9">
        <f t="shared" si="107"/>
        <v>0.5</v>
      </c>
      <c r="J76" s="45">
        <f t="shared" si="108"/>
        <v>0.75</v>
      </c>
    </row>
    <row r="77" ht="108">
      <c r="A77" s="48" t="s">
        <v>36</v>
      </c>
      <c r="B77" s="39" t="s">
        <v>362</v>
      </c>
      <c r="C77" s="40" t="s">
        <v>369</v>
      </c>
      <c r="D77" s="39" t="s">
        <v>370</v>
      </c>
      <c r="E77" s="40" t="s">
        <v>373</v>
      </c>
      <c r="F77" s="34" t="s">
        <v>70</v>
      </c>
      <c r="G77" s="35">
        <f t="shared" si="106"/>
        <v>0.5</v>
      </c>
      <c r="H77" s="9" t="s">
        <v>74</v>
      </c>
      <c r="I77" s="9">
        <f t="shared" si="107"/>
        <v>0</v>
      </c>
      <c r="J77" s="45">
        <f t="shared" si="108"/>
        <v>0.25</v>
      </c>
    </row>
    <row r="78" ht="108">
      <c r="A78" s="48" t="s">
        <v>36</v>
      </c>
      <c r="B78" s="39" t="s">
        <v>362</v>
      </c>
      <c r="C78" s="40" t="s">
        <v>369</v>
      </c>
      <c r="D78" s="39" t="s">
        <v>370</v>
      </c>
      <c r="E78" s="40" t="s">
        <v>374</v>
      </c>
      <c r="F78" s="34" t="s">
        <v>22</v>
      </c>
      <c r="G78" s="35">
        <f t="shared" si="106"/>
        <v>1</v>
      </c>
      <c r="H78" s="9" t="s">
        <v>95</v>
      </c>
      <c r="I78" s="9">
        <f t="shared" si="107"/>
        <v>0.5</v>
      </c>
      <c r="J78" s="45">
        <f t="shared" si="108"/>
        <v>0.75</v>
      </c>
    </row>
    <row r="79" ht="144">
      <c r="A79" s="48" t="s">
        <v>36</v>
      </c>
      <c r="B79" s="39" t="s">
        <v>362</v>
      </c>
      <c r="C79" s="40" t="s">
        <v>375</v>
      </c>
      <c r="D79" s="39" t="s">
        <v>376</v>
      </c>
      <c r="E79" s="40" t="s">
        <v>377</v>
      </c>
      <c r="F79" s="34" t="s">
        <v>70</v>
      </c>
      <c r="G79" s="35">
        <f t="shared" si="106"/>
        <v>0.5</v>
      </c>
      <c r="H79" s="9" t="s">
        <v>74</v>
      </c>
      <c r="I79" s="9">
        <f t="shared" si="107"/>
        <v>0</v>
      </c>
      <c r="J79" s="45">
        <f t="shared" si="108"/>
        <v>0.25</v>
      </c>
    </row>
    <row r="80" ht="126">
      <c r="A80" s="48" t="s">
        <v>36</v>
      </c>
      <c r="B80" s="39" t="s">
        <v>362</v>
      </c>
      <c r="C80" s="40" t="s">
        <v>375</v>
      </c>
      <c r="D80" s="39" t="s">
        <v>376</v>
      </c>
      <c r="E80" s="40" t="s">
        <v>378</v>
      </c>
      <c r="F80" s="34" t="s">
        <v>22</v>
      </c>
      <c r="G80" s="35">
        <f t="shared" si="106"/>
        <v>1</v>
      </c>
      <c r="H80" s="9" t="s">
        <v>24</v>
      </c>
      <c r="I80" s="9">
        <f t="shared" si="107"/>
        <v>1</v>
      </c>
      <c r="J80" s="45">
        <f t="shared" si="108"/>
        <v>1</v>
      </c>
    </row>
    <row r="81" ht="126">
      <c r="A81" s="48" t="s">
        <v>36</v>
      </c>
      <c r="B81" s="39" t="s">
        <v>362</v>
      </c>
      <c r="C81" s="40" t="s">
        <v>375</v>
      </c>
      <c r="D81" s="39" t="s">
        <v>376</v>
      </c>
      <c r="E81" s="40" t="s">
        <v>379</v>
      </c>
      <c r="F81" s="34" t="s">
        <v>70</v>
      </c>
      <c r="G81" s="35">
        <f t="shared" si="106"/>
        <v>0.5</v>
      </c>
      <c r="H81" s="9" t="s">
        <v>74</v>
      </c>
      <c r="I81" s="9">
        <f t="shared" si="107"/>
        <v>0</v>
      </c>
      <c r="J81" s="45">
        <f t="shared" si="108"/>
        <v>0.25</v>
      </c>
    </row>
    <row r="82" ht="126">
      <c r="A82" s="48" t="s">
        <v>36</v>
      </c>
      <c r="B82" s="39" t="s">
        <v>362</v>
      </c>
      <c r="C82" s="40" t="s">
        <v>380</v>
      </c>
      <c r="D82" s="39" t="s">
        <v>381</v>
      </c>
      <c r="E82" s="40" t="s">
        <v>382</v>
      </c>
      <c r="F82" s="34" t="s">
        <v>70</v>
      </c>
      <c r="G82" s="35">
        <f t="shared" si="106"/>
        <v>0.5</v>
      </c>
      <c r="H82" s="9" t="s">
        <v>394</v>
      </c>
      <c r="I82" s="9" t="str">
        <f t="shared" si="107"/>
        <v/>
      </c>
      <c r="J82" s="45">
        <f t="shared" si="108"/>
        <v>0.5</v>
      </c>
    </row>
    <row r="83" ht="108">
      <c r="A83" s="48" t="s">
        <v>36</v>
      </c>
      <c r="B83" s="39" t="s">
        <v>362</v>
      </c>
      <c r="C83" s="40" t="s">
        <v>380</v>
      </c>
      <c r="D83" s="39" t="s">
        <v>381</v>
      </c>
      <c r="E83" s="40" t="s">
        <v>383</v>
      </c>
      <c r="F83" s="34" t="s">
        <v>22</v>
      </c>
      <c r="G83" s="35">
        <f t="shared" si="106"/>
        <v>1</v>
      </c>
      <c r="H83" s="9" t="s">
        <v>24</v>
      </c>
      <c r="I83" s="9">
        <f t="shared" si="107"/>
        <v>1</v>
      </c>
      <c r="J83" s="45">
        <f t="shared" si="108"/>
        <v>1</v>
      </c>
    </row>
    <row r="84" ht="126">
      <c r="A84" s="48" t="s">
        <v>36</v>
      </c>
      <c r="B84" s="39" t="s">
        <v>362</v>
      </c>
      <c r="C84" s="40" t="s">
        <v>380</v>
      </c>
      <c r="D84" s="39" t="s">
        <v>381</v>
      </c>
      <c r="E84" s="40" t="s">
        <v>384</v>
      </c>
      <c r="F84" s="34" t="s">
        <v>53</v>
      </c>
      <c r="G84" s="35">
        <f t="shared" si="106"/>
        <v>0</v>
      </c>
      <c r="H84" s="9" t="s">
        <v>393</v>
      </c>
      <c r="I84" s="9" t="str">
        <f t="shared" si="107"/>
        <v/>
      </c>
      <c r="J84" s="45">
        <f t="shared" si="108"/>
        <v>0</v>
      </c>
    </row>
    <row r="85" ht="144">
      <c r="A85" s="48" t="s">
        <v>36</v>
      </c>
      <c r="B85" s="39" t="s">
        <v>362</v>
      </c>
      <c r="C85" s="40" t="s">
        <v>386</v>
      </c>
      <c r="D85" s="39" t="s">
        <v>387</v>
      </c>
      <c r="E85" s="40" t="s">
        <v>388</v>
      </c>
      <c r="F85" s="34" t="s">
        <v>53</v>
      </c>
      <c r="G85" s="35">
        <f t="shared" si="106"/>
        <v>0</v>
      </c>
      <c r="H85" s="9" t="s">
        <v>393</v>
      </c>
      <c r="I85" s="9" t="str">
        <f t="shared" si="107"/>
        <v/>
      </c>
      <c r="J85" s="45">
        <f t="shared" si="108"/>
        <v>0</v>
      </c>
    </row>
    <row r="86" ht="108">
      <c r="A86" s="48" t="s">
        <v>36</v>
      </c>
      <c r="B86" s="39" t="s">
        <v>362</v>
      </c>
      <c r="C86" s="40" t="s">
        <v>386</v>
      </c>
      <c r="D86" s="39" t="s">
        <v>387</v>
      </c>
      <c r="E86" s="40" t="s">
        <v>389</v>
      </c>
      <c r="F86" s="34" t="s">
        <v>53</v>
      </c>
      <c r="G86" s="35">
        <f t="shared" si="106"/>
        <v>0</v>
      </c>
      <c r="H86" s="9" t="s">
        <v>393</v>
      </c>
      <c r="I86" s="9" t="str">
        <f t="shared" si="107"/>
        <v/>
      </c>
      <c r="J86" s="45">
        <f t="shared" si="108"/>
        <v>0</v>
      </c>
    </row>
    <row r="87" ht="90">
      <c r="A87" s="48" t="s">
        <v>36</v>
      </c>
      <c r="B87" s="39" t="s">
        <v>362</v>
      </c>
      <c r="C87" s="40" t="s">
        <v>386</v>
      </c>
      <c r="D87" s="39" t="s">
        <v>387</v>
      </c>
      <c r="E87" s="40" t="s">
        <v>390</v>
      </c>
      <c r="F87" s="34" t="s">
        <v>22</v>
      </c>
      <c r="G87" s="35">
        <f t="shared" si="106"/>
        <v>1</v>
      </c>
      <c r="H87" s="9" t="s">
        <v>24</v>
      </c>
      <c r="I87" s="9">
        <f t="shared" si="107"/>
        <v>1</v>
      </c>
      <c r="J87" s="45">
        <f t="shared" si="108"/>
        <v>1</v>
      </c>
    </row>
    <row r="88" ht="90">
      <c r="A88" s="48" t="s">
        <v>38</v>
      </c>
      <c r="B88" s="39" t="s">
        <v>362</v>
      </c>
      <c r="C88" s="40" t="s">
        <v>363</v>
      </c>
      <c r="D88" s="39" t="s">
        <v>364</v>
      </c>
      <c r="E88" s="40" t="s">
        <v>365</v>
      </c>
      <c r="F88" s="34" t="s">
        <v>53</v>
      </c>
      <c r="G88" s="35">
        <f t="shared" si="106"/>
        <v>0</v>
      </c>
      <c r="H88" s="9" t="s">
        <v>393</v>
      </c>
      <c r="I88" s="9" t="str">
        <f t="shared" si="107"/>
        <v/>
      </c>
      <c r="J88" s="45">
        <f t="shared" si="108"/>
        <v>0</v>
      </c>
    </row>
    <row r="89" ht="72">
      <c r="A89" s="48" t="s">
        <v>38</v>
      </c>
      <c r="B89" s="39" t="s">
        <v>362</v>
      </c>
      <c r="C89" s="40" t="s">
        <v>363</v>
      </c>
      <c r="D89" s="39" t="s">
        <v>364</v>
      </c>
      <c r="E89" s="40" t="s">
        <v>366</v>
      </c>
      <c r="F89" s="34" t="s">
        <v>53</v>
      </c>
      <c r="G89" s="35">
        <f t="shared" si="106"/>
        <v>0</v>
      </c>
      <c r="H89" s="9" t="s">
        <v>393</v>
      </c>
      <c r="I89" s="9" t="str">
        <f t="shared" si="107"/>
        <v/>
      </c>
      <c r="J89" s="45">
        <f t="shared" si="108"/>
        <v>0</v>
      </c>
    </row>
    <row r="90" ht="144">
      <c r="A90" s="48" t="s">
        <v>38</v>
      </c>
      <c r="B90" s="39" t="s">
        <v>362</v>
      </c>
      <c r="C90" s="40" t="s">
        <v>363</v>
      </c>
      <c r="D90" s="39" t="s">
        <v>364</v>
      </c>
      <c r="E90" s="40" t="s">
        <v>367</v>
      </c>
      <c r="F90" s="34" t="s">
        <v>53</v>
      </c>
      <c r="G90" s="35">
        <f t="shared" si="106"/>
        <v>0</v>
      </c>
      <c r="H90" s="9" t="s">
        <v>393</v>
      </c>
      <c r="I90" s="9" t="str">
        <f t="shared" si="107"/>
        <v/>
      </c>
      <c r="J90" s="45">
        <f t="shared" si="108"/>
        <v>0</v>
      </c>
    </row>
    <row r="91" ht="108">
      <c r="A91" s="48" t="s">
        <v>38</v>
      </c>
      <c r="B91" s="39" t="s">
        <v>362</v>
      </c>
      <c r="C91" s="40" t="s">
        <v>363</v>
      </c>
      <c r="D91" s="39" t="s">
        <v>364</v>
      </c>
      <c r="E91" s="40" t="s">
        <v>368</v>
      </c>
      <c r="F91" s="34" t="s">
        <v>22</v>
      </c>
      <c r="G91" s="35">
        <f t="shared" si="106"/>
        <v>1</v>
      </c>
      <c r="H91" s="9" t="s">
        <v>24</v>
      </c>
      <c r="I91" s="9">
        <f t="shared" si="107"/>
        <v>1</v>
      </c>
      <c r="J91" s="45">
        <f t="shared" si="108"/>
        <v>1</v>
      </c>
    </row>
    <row r="92" ht="90">
      <c r="A92" s="48" t="s">
        <v>38</v>
      </c>
      <c r="B92" s="39" t="s">
        <v>362</v>
      </c>
      <c r="C92" s="40" t="s">
        <v>369</v>
      </c>
      <c r="D92" s="39" t="s">
        <v>370</v>
      </c>
      <c r="E92" s="40" t="s">
        <v>371</v>
      </c>
      <c r="F92" s="34" t="s">
        <v>22</v>
      </c>
      <c r="G92" s="35">
        <f t="shared" si="106"/>
        <v>1</v>
      </c>
      <c r="H92" s="9" t="s">
        <v>74</v>
      </c>
      <c r="I92" s="9">
        <f t="shared" si="107"/>
        <v>0</v>
      </c>
      <c r="J92" s="45">
        <f t="shared" si="108"/>
        <v>0.5</v>
      </c>
    </row>
    <row r="93" ht="126">
      <c r="A93" s="48" t="s">
        <v>38</v>
      </c>
      <c r="B93" s="39" t="s">
        <v>362</v>
      </c>
      <c r="C93" s="40" t="s">
        <v>369</v>
      </c>
      <c r="D93" s="39" t="s">
        <v>370</v>
      </c>
      <c r="E93" s="40" t="s">
        <v>372</v>
      </c>
      <c r="F93" s="34" t="s">
        <v>22</v>
      </c>
      <c r="G93" s="35">
        <f t="shared" si="106"/>
        <v>1</v>
      </c>
      <c r="H93" s="9" t="s">
        <v>95</v>
      </c>
      <c r="I93" s="9">
        <f t="shared" si="107"/>
        <v>0.5</v>
      </c>
      <c r="J93" s="45">
        <f t="shared" si="108"/>
        <v>0.75</v>
      </c>
    </row>
    <row r="94" ht="108">
      <c r="A94" s="48" t="s">
        <v>38</v>
      </c>
      <c r="B94" s="39" t="s">
        <v>362</v>
      </c>
      <c r="C94" s="40" t="s">
        <v>369</v>
      </c>
      <c r="D94" s="39" t="s">
        <v>370</v>
      </c>
      <c r="E94" s="40" t="s">
        <v>373</v>
      </c>
      <c r="F94" s="49" t="s">
        <v>53</v>
      </c>
      <c r="G94" s="35">
        <f t="shared" si="106"/>
        <v>0</v>
      </c>
      <c r="H94" s="10" t="s">
        <v>395</v>
      </c>
      <c r="I94" s="9" t="str">
        <f t="shared" si="107"/>
        <v/>
      </c>
      <c r="J94" s="45">
        <f t="shared" si="108"/>
        <v>0</v>
      </c>
    </row>
    <row r="95" ht="108">
      <c r="A95" s="48" t="s">
        <v>38</v>
      </c>
      <c r="B95" s="39" t="s">
        <v>362</v>
      </c>
      <c r="C95" s="40" t="s">
        <v>369</v>
      </c>
      <c r="D95" s="39" t="s">
        <v>370</v>
      </c>
      <c r="E95" s="40" t="s">
        <v>374</v>
      </c>
      <c r="F95" s="49" t="s">
        <v>22</v>
      </c>
      <c r="G95" s="35">
        <f t="shared" si="106"/>
        <v>1</v>
      </c>
      <c r="H95" s="10" t="s">
        <v>95</v>
      </c>
      <c r="I95" s="9">
        <f t="shared" si="107"/>
        <v>0.5</v>
      </c>
      <c r="J95" s="45">
        <f t="shared" si="108"/>
        <v>0.75</v>
      </c>
    </row>
    <row r="96" ht="144">
      <c r="A96" s="48" t="s">
        <v>38</v>
      </c>
      <c r="B96" s="39" t="s">
        <v>362</v>
      </c>
      <c r="C96" s="40" t="s">
        <v>375</v>
      </c>
      <c r="D96" s="39" t="s">
        <v>376</v>
      </c>
      <c r="E96" s="40" t="s">
        <v>377</v>
      </c>
      <c r="F96" s="49" t="s">
        <v>22</v>
      </c>
      <c r="G96" s="35">
        <f t="shared" si="106"/>
        <v>1</v>
      </c>
      <c r="H96" s="10" t="s">
        <v>24</v>
      </c>
      <c r="I96" s="9">
        <f t="shared" si="107"/>
        <v>1</v>
      </c>
      <c r="J96" s="45">
        <f t="shared" si="108"/>
        <v>1</v>
      </c>
    </row>
    <row r="97" ht="126">
      <c r="A97" s="48" t="s">
        <v>38</v>
      </c>
      <c r="B97" s="39" t="s">
        <v>362</v>
      </c>
      <c r="C97" s="40" t="s">
        <v>375</v>
      </c>
      <c r="D97" s="39" t="s">
        <v>376</v>
      </c>
      <c r="E97" s="40" t="s">
        <v>378</v>
      </c>
      <c r="F97" s="49" t="s">
        <v>22</v>
      </c>
      <c r="G97" s="35">
        <f t="shared" si="106"/>
        <v>1</v>
      </c>
      <c r="H97" s="10" t="s">
        <v>24</v>
      </c>
      <c r="I97" s="9">
        <f t="shared" si="107"/>
        <v>1</v>
      </c>
      <c r="J97" s="45">
        <f t="shared" si="108"/>
        <v>1</v>
      </c>
    </row>
    <row r="98" ht="126">
      <c r="A98" s="48" t="s">
        <v>38</v>
      </c>
      <c r="B98" s="39" t="s">
        <v>362</v>
      </c>
      <c r="C98" s="40" t="s">
        <v>375</v>
      </c>
      <c r="D98" s="39" t="s">
        <v>376</v>
      </c>
      <c r="E98" s="40" t="s">
        <v>379</v>
      </c>
      <c r="F98" s="49" t="s">
        <v>22</v>
      </c>
      <c r="G98" s="35">
        <f t="shared" si="106"/>
        <v>1</v>
      </c>
      <c r="H98" s="10" t="s">
        <v>24</v>
      </c>
      <c r="I98" s="9">
        <f t="shared" si="107"/>
        <v>1</v>
      </c>
      <c r="J98" s="45">
        <f t="shared" si="108"/>
        <v>1</v>
      </c>
    </row>
    <row r="99" ht="126">
      <c r="A99" s="48" t="s">
        <v>38</v>
      </c>
      <c r="B99" s="39" t="s">
        <v>362</v>
      </c>
      <c r="C99" s="40" t="s">
        <v>380</v>
      </c>
      <c r="D99" s="39" t="s">
        <v>381</v>
      </c>
      <c r="E99" s="40" t="s">
        <v>382</v>
      </c>
      <c r="F99" s="49" t="s">
        <v>22</v>
      </c>
      <c r="G99" s="35">
        <f t="shared" si="106"/>
        <v>1</v>
      </c>
      <c r="H99" s="10" t="s">
        <v>24</v>
      </c>
      <c r="I99" s="9">
        <f t="shared" si="107"/>
        <v>1</v>
      </c>
      <c r="J99" s="45">
        <f t="shared" si="108"/>
        <v>1</v>
      </c>
    </row>
    <row r="100" ht="108">
      <c r="A100" s="48" t="s">
        <v>38</v>
      </c>
      <c r="B100" s="39" t="s">
        <v>362</v>
      </c>
      <c r="C100" s="40" t="s">
        <v>380</v>
      </c>
      <c r="D100" s="39" t="s">
        <v>381</v>
      </c>
      <c r="E100" s="40" t="s">
        <v>383</v>
      </c>
      <c r="F100" s="49" t="s">
        <v>22</v>
      </c>
      <c r="G100" s="35">
        <f t="shared" si="106"/>
        <v>1</v>
      </c>
      <c r="H100" s="10" t="s">
        <v>24</v>
      </c>
      <c r="I100" s="9">
        <f t="shared" si="107"/>
        <v>1</v>
      </c>
      <c r="J100" s="45">
        <f t="shared" si="108"/>
        <v>1</v>
      </c>
    </row>
    <row r="101" ht="126">
      <c r="A101" s="48" t="s">
        <v>38</v>
      </c>
      <c r="B101" s="39" t="s">
        <v>362</v>
      </c>
      <c r="C101" s="40" t="s">
        <v>380</v>
      </c>
      <c r="D101" s="39" t="s">
        <v>381</v>
      </c>
      <c r="E101" s="40" t="s">
        <v>384</v>
      </c>
      <c r="F101" s="49" t="s">
        <v>22</v>
      </c>
      <c r="G101" s="35">
        <f t="shared" si="106"/>
        <v>1</v>
      </c>
      <c r="H101" s="10" t="s">
        <v>24</v>
      </c>
      <c r="I101" s="9">
        <f t="shared" si="107"/>
        <v>1</v>
      </c>
      <c r="J101" s="45">
        <f t="shared" si="108"/>
        <v>1</v>
      </c>
    </row>
    <row r="102" ht="144">
      <c r="A102" s="48" t="s">
        <v>38</v>
      </c>
      <c r="B102" s="39" t="s">
        <v>362</v>
      </c>
      <c r="C102" s="40" t="s">
        <v>386</v>
      </c>
      <c r="D102" s="39" t="s">
        <v>387</v>
      </c>
      <c r="E102" s="40" t="s">
        <v>388</v>
      </c>
      <c r="F102" s="49" t="s">
        <v>70</v>
      </c>
      <c r="G102" s="35">
        <f t="shared" si="106"/>
        <v>0.5</v>
      </c>
      <c r="H102" s="10" t="s">
        <v>391</v>
      </c>
      <c r="I102" s="9" t="str">
        <f t="shared" si="107"/>
        <v/>
      </c>
      <c r="J102" s="45">
        <f t="shared" si="108"/>
        <v>0.5</v>
      </c>
    </row>
    <row r="103" ht="108">
      <c r="A103" s="48" t="s">
        <v>38</v>
      </c>
      <c r="B103" s="39" t="s">
        <v>362</v>
      </c>
      <c r="C103" s="40" t="s">
        <v>386</v>
      </c>
      <c r="D103" s="39" t="s">
        <v>387</v>
      </c>
      <c r="E103" s="40" t="s">
        <v>389</v>
      </c>
      <c r="F103" s="49" t="s">
        <v>22</v>
      </c>
      <c r="G103" s="35">
        <f t="shared" si="106"/>
        <v>1</v>
      </c>
      <c r="H103" s="10" t="s">
        <v>24</v>
      </c>
      <c r="I103" s="9">
        <f t="shared" si="107"/>
        <v>1</v>
      </c>
      <c r="J103" s="45">
        <f t="shared" si="108"/>
        <v>1</v>
      </c>
    </row>
    <row r="104" ht="90">
      <c r="A104" s="48" t="s">
        <v>38</v>
      </c>
      <c r="B104" s="39" t="s">
        <v>362</v>
      </c>
      <c r="C104" s="40" t="s">
        <v>386</v>
      </c>
      <c r="D104" s="39" t="s">
        <v>387</v>
      </c>
      <c r="E104" s="40" t="s">
        <v>390</v>
      </c>
      <c r="F104" s="49" t="s">
        <v>22</v>
      </c>
      <c r="G104" s="35">
        <f t="shared" si="106"/>
        <v>1</v>
      </c>
      <c r="H104" s="10" t="s">
        <v>24</v>
      </c>
      <c r="I104" s="9">
        <f t="shared" si="107"/>
        <v>1</v>
      </c>
      <c r="J104" s="45">
        <f t="shared" si="108"/>
        <v>1</v>
      </c>
    </row>
    <row r="105" ht="90">
      <c r="A105" s="50" t="s">
        <v>42</v>
      </c>
      <c r="B105" s="39" t="s">
        <v>362</v>
      </c>
      <c r="C105" s="40" t="s">
        <v>363</v>
      </c>
      <c r="D105" s="39" t="s">
        <v>364</v>
      </c>
      <c r="E105" s="40" t="s">
        <v>365</v>
      </c>
      <c r="F105" s="49" t="s">
        <v>53</v>
      </c>
      <c r="G105" s="35">
        <f t="shared" si="106"/>
        <v>0</v>
      </c>
      <c r="H105" s="10" t="s">
        <v>393</v>
      </c>
      <c r="I105" s="9" t="str">
        <f t="shared" si="107"/>
        <v/>
      </c>
      <c r="J105" s="45">
        <f t="shared" si="108"/>
        <v>0</v>
      </c>
    </row>
    <row r="106" ht="72">
      <c r="A106" s="50" t="s">
        <v>42</v>
      </c>
      <c r="B106" s="39" t="s">
        <v>362</v>
      </c>
      <c r="C106" s="40" t="s">
        <v>363</v>
      </c>
      <c r="D106" s="39" t="s">
        <v>364</v>
      </c>
      <c r="E106" s="40" t="s">
        <v>366</v>
      </c>
      <c r="F106" s="49" t="s">
        <v>53</v>
      </c>
      <c r="G106" s="35">
        <f t="shared" si="106"/>
        <v>0</v>
      </c>
      <c r="H106" s="10" t="s">
        <v>393</v>
      </c>
      <c r="I106" s="9" t="str">
        <f t="shared" si="107"/>
        <v/>
      </c>
      <c r="J106" s="45">
        <f t="shared" si="108"/>
        <v>0</v>
      </c>
    </row>
    <row r="107" ht="144">
      <c r="A107" s="50" t="s">
        <v>42</v>
      </c>
      <c r="B107" s="39" t="s">
        <v>362</v>
      </c>
      <c r="C107" s="40" t="s">
        <v>363</v>
      </c>
      <c r="D107" s="39" t="s">
        <v>364</v>
      </c>
      <c r="E107" s="40" t="s">
        <v>367</v>
      </c>
      <c r="F107" s="49" t="s">
        <v>53</v>
      </c>
      <c r="G107" s="35">
        <f t="shared" si="106"/>
        <v>0</v>
      </c>
      <c r="H107" s="10" t="s">
        <v>393</v>
      </c>
      <c r="I107" s="9" t="str">
        <f t="shared" si="107"/>
        <v/>
      </c>
      <c r="J107" s="45">
        <f t="shared" si="108"/>
        <v>0</v>
      </c>
    </row>
    <row r="108" ht="108">
      <c r="A108" s="50" t="s">
        <v>42</v>
      </c>
      <c r="B108" s="39" t="s">
        <v>362</v>
      </c>
      <c r="C108" s="40" t="s">
        <v>363</v>
      </c>
      <c r="D108" s="39" t="s">
        <v>364</v>
      </c>
      <c r="E108" s="40" t="s">
        <v>368</v>
      </c>
      <c r="F108" s="51" t="s">
        <v>70</v>
      </c>
      <c r="G108" s="35">
        <f t="shared" si="106"/>
        <v>0.5</v>
      </c>
      <c r="H108" s="10" t="s">
        <v>392</v>
      </c>
      <c r="I108" s="9" t="str">
        <f t="shared" si="107"/>
        <v/>
      </c>
      <c r="J108" s="45">
        <f t="shared" si="108"/>
        <v>0.5</v>
      </c>
    </row>
    <row r="109" ht="90">
      <c r="A109" s="50" t="s">
        <v>42</v>
      </c>
      <c r="B109" s="39" t="s">
        <v>362</v>
      </c>
      <c r="C109" s="40" t="s">
        <v>369</v>
      </c>
      <c r="D109" s="39" t="s">
        <v>370</v>
      </c>
      <c r="E109" s="40" t="s">
        <v>371</v>
      </c>
      <c r="F109" s="51" t="s">
        <v>70</v>
      </c>
      <c r="G109" s="35">
        <f t="shared" si="106"/>
        <v>0.5</v>
      </c>
      <c r="H109" s="10" t="s">
        <v>74</v>
      </c>
      <c r="I109" s="9">
        <f t="shared" si="107"/>
        <v>0</v>
      </c>
      <c r="J109" s="45">
        <f t="shared" si="108"/>
        <v>0.25</v>
      </c>
    </row>
    <row r="110" ht="126">
      <c r="A110" s="50" t="s">
        <v>42</v>
      </c>
      <c r="B110" s="39" t="s">
        <v>362</v>
      </c>
      <c r="C110" s="40" t="s">
        <v>369</v>
      </c>
      <c r="D110" s="39" t="s">
        <v>370</v>
      </c>
      <c r="E110" s="40" t="s">
        <v>372</v>
      </c>
      <c r="F110" s="51" t="s">
        <v>70</v>
      </c>
      <c r="G110" s="35">
        <f t="shared" si="106"/>
        <v>0.5</v>
      </c>
      <c r="H110" s="10" t="s">
        <v>74</v>
      </c>
      <c r="I110" s="9">
        <f t="shared" si="107"/>
        <v>0</v>
      </c>
      <c r="J110" s="45">
        <f t="shared" si="108"/>
        <v>0.25</v>
      </c>
    </row>
    <row r="111" ht="108">
      <c r="A111" s="50" t="s">
        <v>42</v>
      </c>
      <c r="B111" s="39" t="s">
        <v>362</v>
      </c>
      <c r="C111" s="40" t="s">
        <v>369</v>
      </c>
      <c r="D111" s="39" t="s">
        <v>370</v>
      </c>
      <c r="E111" s="40" t="s">
        <v>373</v>
      </c>
      <c r="F111" s="51" t="s">
        <v>53</v>
      </c>
      <c r="G111" s="35">
        <f t="shared" si="106"/>
        <v>0</v>
      </c>
      <c r="H111" s="10" t="s">
        <v>395</v>
      </c>
      <c r="I111" s="9" t="str">
        <f t="shared" si="107"/>
        <v/>
      </c>
      <c r="J111" s="45">
        <f t="shared" si="108"/>
        <v>0</v>
      </c>
    </row>
    <row r="112" ht="108">
      <c r="A112" s="50" t="s">
        <v>42</v>
      </c>
      <c r="B112" s="39" t="s">
        <v>362</v>
      </c>
      <c r="C112" s="40" t="s">
        <v>369</v>
      </c>
      <c r="D112" s="39" t="s">
        <v>370</v>
      </c>
      <c r="E112" s="40" t="s">
        <v>374</v>
      </c>
      <c r="F112" s="51" t="s">
        <v>22</v>
      </c>
      <c r="G112" s="35">
        <f t="shared" si="106"/>
        <v>1</v>
      </c>
      <c r="H112" s="10" t="s">
        <v>95</v>
      </c>
      <c r="I112" s="9">
        <f t="shared" si="107"/>
        <v>0.5</v>
      </c>
      <c r="J112" s="45">
        <f t="shared" si="108"/>
        <v>0.75</v>
      </c>
    </row>
    <row r="113" ht="144">
      <c r="A113" s="50" t="s">
        <v>42</v>
      </c>
      <c r="B113" s="39" t="s">
        <v>362</v>
      </c>
      <c r="C113" s="40" t="s">
        <v>375</v>
      </c>
      <c r="D113" s="39" t="s">
        <v>376</v>
      </c>
      <c r="E113" s="40" t="s">
        <v>377</v>
      </c>
      <c r="F113" s="51" t="s">
        <v>70</v>
      </c>
      <c r="G113" s="35">
        <f t="shared" si="106"/>
        <v>0.5</v>
      </c>
      <c r="H113" s="10" t="s">
        <v>74</v>
      </c>
      <c r="I113" s="9">
        <f t="shared" si="107"/>
        <v>0</v>
      </c>
      <c r="J113" s="45">
        <f t="shared" si="108"/>
        <v>0.25</v>
      </c>
    </row>
    <row r="114" ht="126">
      <c r="A114" s="50" t="s">
        <v>42</v>
      </c>
      <c r="B114" s="39" t="s">
        <v>362</v>
      </c>
      <c r="C114" s="40" t="s">
        <v>375</v>
      </c>
      <c r="D114" s="39" t="s">
        <v>376</v>
      </c>
      <c r="E114" s="40" t="s">
        <v>378</v>
      </c>
      <c r="F114" s="51" t="s">
        <v>53</v>
      </c>
      <c r="G114" s="35">
        <f t="shared" si="106"/>
        <v>0</v>
      </c>
      <c r="H114" s="10" t="s">
        <v>393</v>
      </c>
      <c r="I114" s="9" t="str">
        <f t="shared" si="107"/>
        <v/>
      </c>
      <c r="J114" s="45">
        <f t="shared" si="108"/>
        <v>0</v>
      </c>
    </row>
    <row r="115" ht="126">
      <c r="A115" s="50" t="s">
        <v>42</v>
      </c>
      <c r="B115" s="39" t="s">
        <v>362</v>
      </c>
      <c r="C115" s="40" t="s">
        <v>375</v>
      </c>
      <c r="D115" s="39" t="s">
        <v>376</v>
      </c>
      <c r="E115" s="40" t="s">
        <v>379</v>
      </c>
      <c r="F115" s="51" t="s">
        <v>70</v>
      </c>
      <c r="G115" s="35">
        <f t="shared" si="106"/>
        <v>0.5</v>
      </c>
      <c r="H115" s="10" t="s">
        <v>74</v>
      </c>
      <c r="I115" s="9">
        <f t="shared" si="107"/>
        <v>0</v>
      </c>
      <c r="J115" s="45">
        <f t="shared" si="108"/>
        <v>0.25</v>
      </c>
    </row>
    <row r="116" ht="126">
      <c r="A116" s="50" t="s">
        <v>42</v>
      </c>
      <c r="B116" s="39" t="s">
        <v>362</v>
      </c>
      <c r="C116" s="40" t="s">
        <v>380</v>
      </c>
      <c r="D116" s="39" t="s">
        <v>381</v>
      </c>
      <c r="E116" s="40" t="s">
        <v>382</v>
      </c>
      <c r="F116" s="51" t="s">
        <v>22</v>
      </c>
      <c r="G116" s="35">
        <f t="shared" si="106"/>
        <v>1</v>
      </c>
      <c r="H116" s="10" t="s">
        <v>24</v>
      </c>
      <c r="I116" s="9">
        <f t="shared" si="107"/>
        <v>1</v>
      </c>
      <c r="J116" s="45">
        <f t="shared" si="108"/>
        <v>1</v>
      </c>
    </row>
    <row r="117" ht="108">
      <c r="A117" s="50" t="s">
        <v>42</v>
      </c>
      <c r="B117" s="39" t="s">
        <v>362</v>
      </c>
      <c r="C117" s="40" t="s">
        <v>380</v>
      </c>
      <c r="D117" s="39" t="s">
        <v>381</v>
      </c>
      <c r="E117" s="40" t="s">
        <v>383</v>
      </c>
      <c r="F117" s="51" t="s">
        <v>22</v>
      </c>
      <c r="G117" s="35">
        <f t="shared" si="106"/>
        <v>1</v>
      </c>
      <c r="H117" s="10" t="s">
        <v>24</v>
      </c>
      <c r="I117" s="9">
        <f t="shared" si="107"/>
        <v>1</v>
      </c>
      <c r="J117" s="45">
        <f t="shared" si="108"/>
        <v>1</v>
      </c>
    </row>
    <row r="118" ht="126">
      <c r="A118" s="50" t="s">
        <v>42</v>
      </c>
      <c r="B118" s="39" t="s">
        <v>362</v>
      </c>
      <c r="C118" s="40" t="s">
        <v>380</v>
      </c>
      <c r="D118" s="39" t="s">
        <v>381</v>
      </c>
      <c r="E118" s="40" t="s">
        <v>384</v>
      </c>
      <c r="F118" s="51" t="s">
        <v>22</v>
      </c>
      <c r="G118" s="35">
        <f t="shared" si="106"/>
        <v>1</v>
      </c>
      <c r="H118" s="10" t="s">
        <v>24</v>
      </c>
      <c r="I118" s="9">
        <f t="shared" si="107"/>
        <v>1</v>
      </c>
      <c r="J118" s="45">
        <f t="shared" si="108"/>
        <v>1</v>
      </c>
    </row>
    <row r="119" ht="144">
      <c r="A119" s="50" t="s">
        <v>42</v>
      </c>
      <c r="B119" s="39" t="s">
        <v>362</v>
      </c>
      <c r="C119" s="40" t="s">
        <v>386</v>
      </c>
      <c r="D119" s="39" t="s">
        <v>387</v>
      </c>
      <c r="E119" s="40" t="s">
        <v>388</v>
      </c>
      <c r="F119" s="51" t="s">
        <v>53</v>
      </c>
      <c r="G119" s="35">
        <f t="shared" si="106"/>
        <v>0</v>
      </c>
      <c r="H119" s="10" t="s">
        <v>393</v>
      </c>
      <c r="I119" s="9" t="str">
        <f t="shared" si="107"/>
        <v/>
      </c>
      <c r="J119" s="45">
        <f t="shared" si="108"/>
        <v>0</v>
      </c>
    </row>
    <row r="120" ht="108">
      <c r="A120" s="50" t="s">
        <v>42</v>
      </c>
      <c r="B120" s="39" t="s">
        <v>362</v>
      </c>
      <c r="C120" s="40" t="s">
        <v>386</v>
      </c>
      <c r="D120" s="39" t="s">
        <v>387</v>
      </c>
      <c r="E120" s="40" t="s">
        <v>389</v>
      </c>
      <c r="F120" s="51" t="s">
        <v>22</v>
      </c>
      <c r="G120" s="35">
        <f t="shared" si="106"/>
        <v>1</v>
      </c>
      <c r="H120" s="10" t="s">
        <v>24</v>
      </c>
      <c r="I120" s="9">
        <f t="shared" si="107"/>
        <v>1</v>
      </c>
      <c r="J120" s="45">
        <f t="shared" si="108"/>
        <v>1</v>
      </c>
    </row>
    <row r="121" ht="90">
      <c r="A121" s="50" t="s">
        <v>42</v>
      </c>
      <c r="B121" s="39" t="s">
        <v>362</v>
      </c>
      <c r="C121" s="40" t="s">
        <v>386</v>
      </c>
      <c r="D121" s="39" t="s">
        <v>387</v>
      </c>
      <c r="E121" s="40" t="s">
        <v>390</v>
      </c>
      <c r="F121" s="51" t="s">
        <v>70</v>
      </c>
      <c r="G121" s="35">
        <f t="shared" si="106"/>
        <v>0.5</v>
      </c>
      <c r="H121" s="10" t="s">
        <v>391</v>
      </c>
      <c r="I121" s="9">
        <v>1</v>
      </c>
      <c r="J121" s="45">
        <f t="shared" si="108"/>
        <v>0.75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2" zoomScale="83" workbookViewId="0">
      <selection activeCell="J2" activeCellId="0" sqref="J2"/>
    </sheetView>
  </sheetViews>
  <sheetFormatPr baseColWidth="10" defaultRowHeight="15"/>
  <cols>
    <col customWidth="1" min="2" max="2" width="19.7109375"/>
    <col customWidth="1" min="3" max="3" width="25.7109375"/>
    <col customWidth="1" min="4" max="4" width="29.7109375"/>
    <col customWidth="1" min="5" max="5" width="64.7109375"/>
    <col customWidth="1" min="6" max="6" width="22.5703125"/>
    <col customWidth="1" min="7" max="7" width="14.28515625"/>
    <col customWidth="1" min="8" max="8" width="19.42578125"/>
    <col customWidth="1" min="9" max="9" width="14.28515625"/>
    <col customWidth="1" min="10" max="10" width="13.28515625"/>
    <col customWidth="1" min="14" max="15" width="13.7109375"/>
    <col customWidth="1" min="16" max="16" width="15.28515625"/>
    <col customWidth="1" min="17" max="17" width="14.42578125"/>
    <col customWidth="1" min="19" max="19" width="18"/>
  </cols>
  <sheetData>
    <row r="1" ht="36">
      <c r="A1" s="36" t="s">
        <v>0</v>
      </c>
      <c r="B1" s="37" t="s">
        <v>1</v>
      </c>
      <c r="C1" s="37" t="s">
        <v>2</v>
      </c>
      <c r="D1" s="37" t="s">
        <v>3</v>
      </c>
      <c r="E1" s="37" t="s">
        <v>4</v>
      </c>
      <c r="F1" s="37" t="s">
        <v>5</v>
      </c>
      <c r="G1" s="37" t="s">
        <v>325</v>
      </c>
      <c r="H1" s="37" t="s">
        <v>142</v>
      </c>
      <c r="I1" s="37" t="s">
        <v>326</v>
      </c>
      <c r="J1" s="44" t="s">
        <v>9</v>
      </c>
      <c r="M1" s="4" t="s">
        <v>10</v>
      </c>
      <c r="N1" s="4" t="s">
        <v>11</v>
      </c>
      <c r="O1" s="4" t="s">
        <v>12</v>
      </c>
      <c r="P1" s="4" t="s">
        <v>13</v>
      </c>
      <c r="Q1" s="4" t="s">
        <v>14</v>
      </c>
      <c r="R1" s="4" t="s">
        <v>15</v>
      </c>
      <c r="S1" s="4" t="s">
        <v>16</v>
      </c>
    </row>
    <row r="2" ht="72">
      <c r="A2" s="38" t="s">
        <v>17</v>
      </c>
      <c r="B2" s="39" t="s">
        <v>396</v>
      </c>
      <c r="C2" s="40" t="s">
        <v>397</v>
      </c>
      <c r="D2" s="39" t="s">
        <v>398</v>
      </c>
      <c r="E2" s="40" t="s">
        <v>399</v>
      </c>
      <c r="F2" s="34" t="s">
        <v>22</v>
      </c>
      <c r="G2" s="35">
        <f t="shared" ref="G2:G28" si="109">IF(F2="Cumple",1,IF(F2="Cumple Parcialmente",0.5,IF(F2="No Cumple",0,"")))</f>
        <v>1</v>
      </c>
      <c r="H2" s="34" t="s">
        <v>22</v>
      </c>
      <c r="I2" s="9">
        <f t="shared" ref="I2:I65" si="110">IF(H2="Cumple",1,IF(H2="Cumple Parcialmente",0.5,IF(H2="No Cumple",0,"")))</f>
        <v>1</v>
      </c>
      <c r="J2" s="45">
        <f t="shared" ref="J2:J33" si="111">AVERAGE(G2,I2)</f>
        <v>1</v>
      </c>
      <c r="M2" s="10" t="s">
        <v>17</v>
      </c>
      <c r="N2" s="10">
        <f>SUM(G2:G24)</f>
        <v>18.5</v>
      </c>
      <c r="O2" s="10">
        <f t="shared" ref="O2:O8" si="112">ROUND((N2/24)*100,2)</f>
        <v>77.079999999999998</v>
      </c>
      <c r="P2" s="10">
        <f>SUM(I2:I24)</f>
        <v>16</v>
      </c>
      <c r="Q2" s="10">
        <f t="shared" ref="Q2:Q8" si="113">ROUND((P2/24)*100,2)</f>
        <v>66.670000000000002</v>
      </c>
      <c r="R2" s="11">
        <f t="shared" ref="R2:R8" si="114">AVERAGE(N2,P2)</f>
        <v>17.25</v>
      </c>
      <c r="S2" s="12">
        <f t="shared" ref="S2:S8" si="115">ROUND((R2/24)*100,2)</f>
        <v>71.879999999999995</v>
      </c>
    </row>
    <row r="3" ht="72">
      <c r="A3" s="38" t="s">
        <v>17</v>
      </c>
      <c r="B3" s="39" t="s">
        <v>396</v>
      </c>
      <c r="C3" s="40" t="s">
        <v>397</v>
      </c>
      <c r="D3" s="39" t="s">
        <v>398</v>
      </c>
      <c r="E3" s="40" t="s">
        <v>400</v>
      </c>
      <c r="F3" s="34" t="s">
        <v>22</v>
      </c>
      <c r="G3" s="35">
        <f t="shared" si="109"/>
        <v>1</v>
      </c>
      <c r="H3" s="34" t="s">
        <v>22</v>
      </c>
      <c r="I3" s="9">
        <f t="shared" si="110"/>
        <v>1</v>
      </c>
      <c r="J3" s="45">
        <f t="shared" si="111"/>
        <v>1</v>
      </c>
      <c r="M3" s="10" t="s">
        <v>25</v>
      </c>
      <c r="N3" s="10">
        <f>SUM(G25:G48)</f>
        <v>16.5</v>
      </c>
      <c r="O3" s="10">
        <f t="shared" si="112"/>
        <v>68.75</v>
      </c>
      <c r="P3" s="10">
        <f>SUM(I25:I48)</f>
        <v>14</v>
      </c>
      <c r="Q3" s="10">
        <f t="shared" si="113"/>
        <v>58.329999999999998</v>
      </c>
      <c r="R3" s="11">
        <f t="shared" si="114"/>
        <v>15.25</v>
      </c>
      <c r="S3" s="12">
        <f t="shared" si="115"/>
        <v>63.539999999999999</v>
      </c>
    </row>
    <row r="4" ht="72">
      <c r="A4" s="38" t="s">
        <v>17</v>
      </c>
      <c r="B4" s="39" t="s">
        <v>396</v>
      </c>
      <c r="C4" s="40" t="s">
        <v>397</v>
      </c>
      <c r="D4" s="39" t="s">
        <v>398</v>
      </c>
      <c r="E4" s="40" t="s">
        <v>401</v>
      </c>
      <c r="F4" s="34" t="s">
        <v>53</v>
      </c>
      <c r="G4" s="35">
        <f t="shared" si="109"/>
        <v>0</v>
      </c>
      <c r="H4" s="34" t="s">
        <v>53</v>
      </c>
      <c r="I4" s="9">
        <f t="shared" si="110"/>
        <v>0</v>
      </c>
      <c r="J4" s="45">
        <f t="shared" si="111"/>
        <v>0</v>
      </c>
      <c r="M4" s="10" t="s">
        <v>29</v>
      </c>
      <c r="N4" s="10">
        <f>SUM(G49:G72)</f>
        <v>15</v>
      </c>
      <c r="O4" s="10">
        <f t="shared" si="112"/>
        <v>62.5</v>
      </c>
      <c r="P4" s="10">
        <f>SUM(I49:I72)</f>
        <v>11.5</v>
      </c>
      <c r="Q4" s="10">
        <f t="shared" si="113"/>
        <v>47.920000000000002</v>
      </c>
      <c r="R4" s="11">
        <f t="shared" si="114"/>
        <v>13.25</v>
      </c>
      <c r="S4" s="12">
        <f t="shared" si="115"/>
        <v>55.210000000000001</v>
      </c>
    </row>
    <row r="5" ht="54">
      <c r="A5" s="38" t="s">
        <v>17</v>
      </c>
      <c r="B5" s="39" t="s">
        <v>396</v>
      </c>
      <c r="C5" s="40" t="s">
        <v>402</v>
      </c>
      <c r="D5" s="39" t="s">
        <v>403</v>
      </c>
      <c r="E5" s="40" t="s">
        <v>404</v>
      </c>
      <c r="F5" s="34" t="s">
        <v>70</v>
      </c>
      <c r="G5" s="35">
        <f t="shared" si="109"/>
        <v>0.5</v>
      </c>
      <c r="H5" s="34" t="s">
        <v>53</v>
      </c>
      <c r="I5" s="9">
        <f t="shared" si="110"/>
        <v>0</v>
      </c>
      <c r="J5" s="45">
        <f t="shared" si="111"/>
        <v>0.25</v>
      </c>
      <c r="M5" s="10" t="s">
        <v>32</v>
      </c>
      <c r="N5" s="10">
        <f>SUM(G73:G96)</f>
        <v>22</v>
      </c>
      <c r="O5" s="10">
        <f t="shared" si="112"/>
        <v>91.670000000000002</v>
      </c>
      <c r="P5" s="10">
        <f>SUM(I73:I96)</f>
        <v>17</v>
      </c>
      <c r="Q5" s="10">
        <f t="shared" si="113"/>
        <v>70.829999999999998</v>
      </c>
      <c r="R5" s="11">
        <f t="shared" si="114"/>
        <v>19.5</v>
      </c>
      <c r="S5" s="12">
        <f t="shared" si="115"/>
        <v>81.25</v>
      </c>
    </row>
    <row r="6" ht="54">
      <c r="A6" s="38" t="s">
        <v>17</v>
      </c>
      <c r="B6" s="39" t="s">
        <v>396</v>
      </c>
      <c r="C6" s="40" t="s">
        <v>402</v>
      </c>
      <c r="D6" s="39" t="s">
        <v>403</v>
      </c>
      <c r="E6" s="40" t="s">
        <v>405</v>
      </c>
      <c r="F6" s="34" t="s">
        <v>22</v>
      </c>
      <c r="G6" s="35">
        <f t="shared" si="109"/>
        <v>1</v>
      </c>
      <c r="H6" s="34" t="s">
        <v>70</v>
      </c>
      <c r="I6" s="9">
        <f t="shared" si="110"/>
        <v>0.5</v>
      </c>
      <c r="J6" s="45">
        <f t="shared" si="111"/>
        <v>0.75</v>
      </c>
      <c r="M6" s="10" t="s">
        <v>36</v>
      </c>
      <c r="N6" s="10">
        <f>SUM(G97:G120)</f>
        <v>21.5</v>
      </c>
      <c r="O6" s="10">
        <f t="shared" si="112"/>
        <v>89.579999999999998</v>
      </c>
      <c r="P6" s="10">
        <f>SUM(I97:I120)</f>
        <v>19.5</v>
      </c>
      <c r="Q6" s="10">
        <f t="shared" si="113"/>
        <v>81.25</v>
      </c>
      <c r="R6" s="11">
        <f t="shared" si="114"/>
        <v>20.5</v>
      </c>
      <c r="S6" s="12">
        <f t="shared" si="115"/>
        <v>85.420000000000002</v>
      </c>
    </row>
    <row r="7" ht="90">
      <c r="A7" s="38" t="s">
        <v>17</v>
      </c>
      <c r="B7" s="39" t="s">
        <v>396</v>
      </c>
      <c r="C7" s="40" t="s">
        <v>402</v>
      </c>
      <c r="D7" s="39" t="s">
        <v>403</v>
      </c>
      <c r="E7" s="40" t="s">
        <v>406</v>
      </c>
      <c r="F7" s="34" t="s">
        <v>22</v>
      </c>
      <c r="G7" s="35">
        <f t="shared" si="109"/>
        <v>1</v>
      </c>
      <c r="H7" s="34" t="s">
        <v>70</v>
      </c>
      <c r="I7" s="9">
        <f t="shared" si="110"/>
        <v>0.5</v>
      </c>
      <c r="J7" s="45">
        <f t="shared" si="111"/>
        <v>0.75</v>
      </c>
      <c r="M7" s="10" t="s">
        <v>38</v>
      </c>
      <c r="N7" s="10">
        <f>SUM(G121:G144)</f>
        <v>19</v>
      </c>
      <c r="O7" s="10">
        <f t="shared" si="112"/>
        <v>79.170000000000002</v>
      </c>
      <c r="P7" s="10">
        <f>SUM(I121:I144)</f>
        <v>18</v>
      </c>
      <c r="Q7" s="10">
        <f t="shared" si="113"/>
        <v>75</v>
      </c>
      <c r="R7" s="11">
        <f t="shared" si="114"/>
        <v>18.5</v>
      </c>
      <c r="S7" s="12">
        <f t="shared" si="115"/>
        <v>77.079999999999998</v>
      </c>
    </row>
    <row r="8" ht="90">
      <c r="A8" s="38" t="s">
        <v>17</v>
      </c>
      <c r="B8" s="39" t="s">
        <v>396</v>
      </c>
      <c r="C8" s="40" t="s">
        <v>407</v>
      </c>
      <c r="D8" s="39" t="s">
        <v>408</v>
      </c>
      <c r="E8" s="40" t="s">
        <v>409</v>
      </c>
      <c r="F8" s="34" t="s">
        <v>70</v>
      </c>
      <c r="G8" s="35">
        <f t="shared" si="109"/>
        <v>0.5</v>
      </c>
      <c r="H8" s="34" t="s">
        <v>70</v>
      </c>
      <c r="I8" s="9">
        <f t="shared" si="110"/>
        <v>0.5</v>
      </c>
      <c r="J8" s="45">
        <f t="shared" si="111"/>
        <v>0.5</v>
      </c>
      <c r="M8" s="10" t="s">
        <v>42</v>
      </c>
      <c r="N8" s="10">
        <f>SUM(G145:G168)</f>
        <v>16</v>
      </c>
      <c r="O8" s="10">
        <f t="shared" si="112"/>
        <v>66.670000000000002</v>
      </c>
      <c r="P8" s="10">
        <f>SUM(I145:I168)</f>
        <v>11.5</v>
      </c>
      <c r="Q8" s="10">
        <f t="shared" si="113"/>
        <v>47.920000000000002</v>
      </c>
      <c r="R8" s="11">
        <f t="shared" si="114"/>
        <v>13.75</v>
      </c>
      <c r="S8" s="12">
        <f t="shared" si="115"/>
        <v>57.289999999999999</v>
      </c>
    </row>
    <row r="9" ht="90">
      <c r="A9" s="38" t="s">
        <v>17</v>
      </c>
      <c r="B9" s="39" t="s">
        <v>396</v>
      </c>
      <c r="C9" s="40" t="s">
        <v>407</v>
      </c>
      <c r="D9" s="39" t="s">
        <v>408</v>
      </c>
      <c r="E9" s="40" t="s">
        <v>410</v>
      </c>
      <c r="F9" s="34" t="s">
        <v>22</v>
      </c>
      <c r="G9" s="35">
        <f t="shared" si="109"/>
        <v>1</v>
      </c>
      <c r="H9" s="34" t="s">
        <v>22</v>
      </c>
      <c r="I9" s="9">
        <f t="shared" si="110"/>
        <v>1</v>
      </c>
      <c r="J9" s="45">
        <f t="shared" si="111"/>
        <v>1</v>
      </c>
    </row>
    <row r="10" ht="90">
      <c r="A10" s="38" t="s">
        <v>17</v>
      </c>
      <c r="B10" s="39" t="s">
        <v>396</v>
      </c>
      <c r="C10" s="40" t="s">
        <v>411</v>
      </c>
      <c r="D10" s="39" t="s">
        <v>412</v>
      </c>
      <c r="E10" s="40" t="s">
        <v>413</v>
      </c>
      <c r="F10" s="34" t="s">
        <v>22</v>
      </c>
      <c r="G10" s="35">
        <f t="shared" ref="G10:G11" si="116">IF(F10="Cumple",1,IF(F10="Cumple Parcialmente",0.5,IF(F10="No Cumple",0,"")))</f>
        <v>1</v>
      </c>
      <c r="H10" s="9" t="s">
        <v>22</v>
      </c>
      <c r="I10" s="9">
        <f t="shared" si="110"/>
        <v>1</v>
      </c>
      <c r="J10" s="45">
        <f t="shared" si="111"/>
        <v>1</v>
      </c>
    </row>
    <row r="11" ht="72">
      <c r="A11" s="38" t="s">
        <v>17</v>
      </c>
      <c r="B11" s="39" t="s">
        <v>396</v>
      </c>
      <c r="C11" s="40" t="s">
        <v>411</v>
      </c>
      <c r="D11" s="39" t="s">
        <v>412</v>
      </c>
      <c r="E11" s="40" t="s">
        <v>414</v>
      </c>
      <c r="F11" s="34" t="s">
        <v>22</v>
      </c>
      <c r="G11" s="35">
        <f t="shared" si="116"/>
        <v>1</v>
      </c>
      <c r="H11" s="9" t="s">
        <v>22</v>
      </c>
      <c r="I11" s="9">
        <f t="shared" si="110"/>
        <v>1</v>
      </c>
      <c r="J11" s="45">
        <f t="shared" si="111"/>
        <v>1</v>
      </c>
    </row>
    <row r="12" ht="90">
      <c r="A12" s="38" t="s">
        <v>17</v>
      </c>
      <c r="B12" s="39" t="s">
        <v>396</v>
      </c>
      <c r="C12" s="40" t="s">
        <v>411</v>
      </c>
      <c r="D12" s="39" t="s">
        <v>412</v>
      </c>
      <c r="E12" s="40" t="s">
        <v>415</v>
      </c>
      <c r="F12" s="34" t="s">
        <v>22</v>
      </c>
      <c r="G12" s="35">
        <f t="shared" si="109"/>
        <v>1</v>
      </c>
      <c r="H12" s="9" t="s">
        <v>22</v>
      </c>
      <c r="I12" s="9">
        <f t="shared" si="110"/>
        <v>1</v>
      </c>
      <c r="J12" s="45">
        <f t="shared" si="111"/>
        <v>1</v>
      </c>
    </row>
    <row r="13" ht="90">
      <c r="A13" s="38" t="s">
        <v>17</v>
      </c>
      <c r="B13" s="39" t="s">
        <v>396</v>
      </c>
      <c r="C13" s="40" t="s">
        <v>416</v>
      </c>
      <c r="D13" s="39" t="s">
        <v>417</v>
      </c>
      <c r="E13" s="40" t="s">
        <v>418</v>
      </c>
      <c r="F13" s="34" t="s">
        <v>70</v>
      </c>
      <c r="G13" s="35">
        <f t="shared" si="109"/>
        <v>0.5</v>
      </c>
      <c r="H13" s="9" t="s">
        <v>31</v>
      </c>
      <c r="I13" s="9">
        <f t="shared" si="110"/>
        <v>0.5</v>
      </c>
      <c r="J13" s="45">
        <f t="shared" si="111"/>
        <v>0.5</v>
      </c>
    </row>
    <row r="14" ht="90">
      <c r="A14" s="38" t="s">
        <v>17</v>
      </c>
      <c r="B14" s="39" t="s">
        <v>396</v>
      </c>
      <c r="C14" s="40" t="s">
        <v>416</v>
      </c>
      <c r="D14" s="39" t="s">
        <v>417</v>
      </c>
      <c r="E14" s="40" t="s">
        <v>419</v>
      </c>
      <c r="F14" s="34" t="s">
        <v>70</v>
      </c>
      <c r="G14" s="35">
        <f t="shared" si="109"/>
        <v>0.5</v>
      </c>
      <c r="H14" s="9" t="s">
        <v>31</v>
      </c>
      <c r="I14" s="9">
        <f t="shared" si="110"/>
        <v>0.5</v>
      </c>
      <c r="J14" s="45">
        <f t="shared" si="111"/>
        <v>0.5</v>
      </c>
    </row>
    <row r="15" ht="108">
      <c r="A15" s="38" t="s">
        <v>17</v>
      </c>
      <c r="B15" s="39" t="s">
        <v>396</v>
      </c>
      <c r="C15" s="40" t="s">
        <v>416</v>
      </c>
      <c r="D15" s="39" t="s">
        <v>417</v>
      </c>
      <c r="E15" s="40" t="s">
        <v>420</v>
      </c>
      <c r="F15" s="34" t="s">
        <v>53</v>
      </c>
      <c r="G15" s="35">
        <f t="shared" si="109"/>
        <v>0</v>
      </c>
      <c r="H15" s="34" t="s">
        <v>53</v>
      </c>
      <c r="I15" s="9">
        <f t="shared" si="110"/>
        <v>0</v>
      </c>
      <c r="J15" s="45">
        <f t="shared" si="111"/>
        <v>0</v>
      </c>
    </row>
    <row r="16" ht="54">
      <c r="A16" s="38" t="s">
        <v>17</v>
      </c>
      <c r="B16" s="39" t="s">
        <v>396</v>
      </c>
      <c r="C16" s="40" t="s">
        <v>421</v>
      </c>
      <c r="D16" s="39" t="s">
        <v>422</v>
      </c>
      <c r="E16" s="40" t="s">
        <v>423</v>
      </c>
      <c r="F16" s="34" t="s">
        <v>22</v>
      </c>
      <c r="G16" s="35">
        <f t="shared" si="109"/>
        <v>1</v>
      </c>
      <c r="H16" s="9" t="s">
        <v>22</v>
      </c>
      <c r="I16" s="9">
        <f t="shared" si="110"/>
        <v>1</v>
      </c>
      <c r="J16" s="45">
        <f t="shared" si="111"/>
        <v>1</v>
      </c>
    </row>
    <row r="17" ht="72">
      <c r="A17" s="38" t="s">
        <v>17</v>
      </c>
      <c r="B17" s="39" t="s">
        <v>396</v>
      </c>
      <c r="C17" s="40" t="s">
        <v>421</v>
      </c>
      <c r="D17" s="39" t="s">
        <v>422</v>
      </c>
      <c r="E17" s="40" t="s">
        <v>424</v>
      </c>
      <c r="F17" s="34" t="s">
        <v>22</v>
      </c>
      <c r="G17" s="35">
        <f t="shared" si="109"/>
        <v>1</v>
      </c>
      <c r="H17" s="9" t="s">
        <v>22</v>
      </c>
      <c r="I17" s="9">
        <f t="shared" si="110"/>
        <v>1</v>
      </c>
      <c r="J17" s="45">
        <f t="shared" si="111"/>
        <v>1</v>
      </c>
    </row>
    <row r="18" ht="72">
      <c r="A18" s="38" t="s">
        <v>17</v>
      </c>
      <c r="B18" s="39" t="s">
        <v>396</v>
      </c>
      <c r="C18" s="40" t="s">
        <v>421</v>
      </c>
      <c r="D18" s="39" t="s">
        <v>422</v>
      </c>
      <c r="E18" s="40" t="s">
        <v>425</v>
      </c>
      <c r="F18" s="34" t="s">
        <v>70</v>
      </c>
      <c r="G18" s="35">
        <f t="shared" si="109"/>
        <v>0.5</v>
      </c>
      <c r="H18" s="9" t="s">
        <v>31</v>
      </c>
      <c r="I18" s="9">
        <f t="shared" si="110"/>
        <v>0.5</v>
      </c>
      <c r="J18" s="45">
        <f t="shared" si="111"/>
        <v>0.5</v>
      </c>
    </row>
    <row r="19" ht="72">
      <c r="A19" s="38" t="s">
        <v>17</v>
      </c>
      <c r="B19" s="39" t="s">
        <v>396</v>
      </c>
      <c r="C19" s="40" t="s">
        <v>426</v>
      </c>
      <c r="D19" s="39" t="s">
        <v>427</v>
      </c>
      <c r="E19" s="40" t="s">
        <v>428</v>
      </c>
      <c r="F19" s="34" t="s">
        <v>22</v>
      </c>
      <c r="G19" s="35">
        <f t="shared" si="109"/>
        <v>1</v>
      </c>
      <c r="H19" s="9" t="s">
        <v>31</v>
      </c>
      <c r="I19" s="9">
        <f t="shared" si="110"/>
        <v>0.5</v>
      </c>
      <c r="J19" s="45">
        <f t="shared" si="111"/>
        <v>0.75</v>
      </c>
    </row>
    <row r="20" ht="54">
      <c r="A20" s="38" t="s">
        <v>17</v>
      </c>
      <c r="B20" s="39" t="s">
        <v>396</v>
      </c>
      <c r="C20" s="40" t="s">
        <v>426</v>
      </c>
      <c r="D20" s="39" t="s">
        <v>427</v>
      </c>
      <c r="E20" s="40" t="s">
        <v>429</v>
      </c>
      <c r="F20" s="34" t="s">
        <v>22</v>
      </c>
      <c r="G20" s="35">
        <f t="shared" si="109"/>
        <v>1</v>
      </c>
      <c r="H20" s="9" t="s">
        <v>22</v>
      </c>
      <c r="I20" s="9">
        <f t="shared" si="110"/>
        <v>1</v>
      </c>
      <c r="J20" s="45">
        <f t="shared" si="111"/>
        <v>1</v>
      </c>
    </row>
    <row r="21" ht="72">
      <c r="A21" s="38" t="s">
        <v>17</v>
      </c>
      <c r="B21" s="39" t="s">
        <v>396</v>
      </c>
      <c r="C21" s="40" t="s">
        <v>426</v>
      </c>
      <c r="D21" s="39" t="s">
        <v>427</v>
      </c>
      <c r="E21" s="40" t="s">
        <v>430</v>
      </c>
      <c r="F21" s="34" t="s">
        <v>22</v>
      </c>
      <c r="G21" s="35">
        <f t="shared" si="109"/>
        <v>1</v>
      </c>
      <c r="H21" s="9" t="s">
        <v>22</v>
      </c>
      <c r="I21" s="9">
        <f t="shared" si="110"/>
        <v>1</v>
      </c>
      <c r="J21" s="45">
        <f t="shared" si="111"/>
        <v>1</v>
      </c>
    </row>
    <row r="22" ht="90">
      <c r="A22" s="38" t="s">
        <v>17</v>
      </c>
      <c r="B22" s="39" t="s">
        <v>396</v>
      </c>
      <c r="C22" s="40" t="s">
        <v>431</v>
      </c>
      <c r="D22" s="39" t="s">
        <v>432</v>
      </c>
      <c r="E22" s="40" t="s">
        <v>433</v>
      </c>
      <c r="F22" s="34" t="s">
        <v>22</v>
      </c>
      <c r="G22" s="35">
        <f t="shared" si="109"/>
        <v>1</v>
      </c>
      <c r="H22" s="9" t="s">
        <v>31</v>
      </c>
      <c r="I22" s="9">
        <f t="shared" si="110"/>
        <v>0.5</v>
      </c>
      <c r="J22" s="45">
        <f t="shared" si="111"/>
        <v>0.75</v>
      </c>
    </row>
    <row r="23" ht="90">
      <c r="A23" s="38" t="s">
        <v>17</v>
      </c>
      <c r="B23" s="39" t="s">
        <v>396</v>
      </c>
      <c r="C23" s="40" t="s">
        <v>431</v>
      </c>
      <c r="D23" s="39" t="s">
        <v>432</v>
      </c>
      <c r="E23" s="40" t="s">
        <v>434</v>
      </c>
      <c r="F23" s="34" t="s">
        <v>22</v>
      </c>
      <c r="G23" s="35">
        <f t="shared" si="109"/>
        <v>1</v>
      </c>
      <c r="H23" s="9" t="s">
        <v>22</v>
      </c>
      <c r="I23" s="9">
        <f t="shared" si="110"/>
        <v>1</v>
      </c>
      <c r="J23" s="45">
        <f t="shared" si="111"/>
        <v>1</v>
      </c>
    </row>
    <row r="24" ht="90">
      <c r="A24" s="38" t="s">
        <v>17</v>
      </c>
      <c r="B24" s="39" t="s">
        <v>396</v>
      </c>
      <c r="C24" s="40" t="s">
        <v>431</v>
      </c>
      <c r="D24" s="39" t="s">
        <v>432</v>
      </c>
      <c r="E24" s="40" t="s">
        <v>435</v>
      </c>
      <c r="F24" s="34" t="s">
        <v>22</v>
      </c>
      <c r="G24" s="35">
        <f t="shared" si="109"/>
        <v>1</v>
      </c>
      <c r="H24" s="9" t="s">
        <v>22</v>
      </c>
      <c r="I24" s="9">
        <f t="shared" si="110"/>
        <v>1</v>
      </c>
      <c r="J24" s="45">
        <f t="shared" si="111"/>
        <v>1</v>
      </c>
    </row>
    <row r="25" ht="72">
      <c r="A25" s="38" t="s">
        <v>25</v>
      </c>
      <c r="B25" s="39" t="s">
        <v>396</v>
      </c>
      <c r="C25" s="40" t="s">
        <v>397</v>
      </c>
      <c r="D25" s="39" t="s">
        <v>398</v>
      </c>
      <c r="E25" s="40" t="s">
        <v>399</v>
      </c>
      <c r="F25" s="34" t="s">
        <v>22</v>
      </c>
      <c r="G25" s="35">
        <f t="shared" si="109"/>
        <v>1</v>
      </c>
      <c r="H25" s="9" t="s">
        <v>22</v>
      </c>
      <c r="I25" s="9">
        <f t="shared" si="110"/>
        <v>1</v>
      </c>
      <c r="J25" s="45">
        <f t="shared" si="111"/>
        <v>1</v>
      </c>
    </row>
    <row r="26" ht="72">
      <c r="A26" s="38" t="s">
        <v>25</v>
      </c>
      <c r="B26" s="39" t="s">
        <v>396</v>
      </c>
      <c r="C26" s="40" t="s">
        <v>397</v>
      </c>
      <c r="D26" s="39" t="s">
        <v>398</v>
      </c>
      <c r="E26" s="40" t="s">
        <v>400</v>
      </c>
      <c r="F26" s="34" t="s">
        <v>22</v>
      </c>
      <c r="G26" s="35">
        <f t="shared" si="109"/>
        <v>1</v>
      </c>
      <c r="H26" s="9" t="s">
        <v>70</v>
      </c>
      <c r="I26" s="9">
        <f t="shared" si="110"/>
        <v>0.5</v>
      </c>
      <c r="J26" s="45">
        <f t="shared" si="111"/>
        <v>0.75</v>
      </c>
    </row>
    <row r="27" ht="72">
      <c r="A27" s="38" t="s">
        <v>25</v>
      </c>
      <c r="B27" s="39" t="s">
        <v>396</v>
      </c>
      <c r="C27" s="40" t="s">
        <v>397</v>
      </c>
      <c r="D27" s="39" t="s">
        <v>398</v>
      </c>
      <c r="E27" s="40" t="s">
        <v>401</v>
      </c>
      <c r="F27" s="34" t="s">
        <v>70</v>
      </c>
      <c r="G27" s="35">
        <f t="shared" si="109"/>
        <v>0.5</v>
      </c>
      <c r="H27" s="10" t="s">
        <v>53</v>
      </c>
      <c r="I27" s="9">
        <f t="shared" si="110"/>
        <v>0</v>
      </c>
      <c r="J27" s="45">
        <f t="shared" si="111"/>
        <v>0.25</v>
      </c>
    </row>
    <row r="28" ht="54">
      <c r="A28" s="38" t="s">
        <v>25</v>
      </c>
      <c r="B28" s="39" t="s">
        <v>396</v>
      </c>
      <c r="C28" s="40" t="s">
        <v>402</v>
      </c>
      <c r="D28" s="39" t="s">
        <v>403</v>
      </c>
      <c r="E28" s="40" t="s">
        <v>404</v>
      </c>
      <c r="F28" s="34" t="s">
        <v>22</v>
      </c>
      <c r="G28" s="35">
        <f t="shared" si="109"/>
        <v>1</v>
      </c>
      <c r="H28" s="10" t="s">
        <v>70</v>
      </c>
      <c r="I28" s="9">
        <f t="shared" si="110"/>
        <v>0.5</v>
      </c>
      <c r="J28" s="45">
        <f t="shared" si="111"/>
        <v>0.75</v>
      </c>
    </row>
    <row r="29" ht="54">
      <c r="A29" s="38" t="s">
        <v>25</v>
      </c>
      <c r="B29" s="39" t="s">
        <v>396</v>
      </c>
      <c r="C29" s="40" t="s">
        <v>402</v>
      </c>
      <c r="D29" s="39" t="s">
        <v>403</v>
      </c>
      <c r="E29" s="40" t="s">
        <v>405</v>
      </c>
      <c r="F29" s="34" t="s">
        <v>70</v>
      </c>
      <c r="G29" s="35">
        <f t="shared" ref="G29:G92" si="117">IF(F29="Cumple",1,IF(F29="Cumple Parcialmente",0.5,IF(F29="No Cumple",0,"")))</f>
        <v>0.5</v>
      </c>
      <c r="H29" s="34" t="s">
        <v>70</v>
      </c>
      <c r="I29" s="9">
        <f t="shared" si="110"/>
        <v>0.5</v>
      </c>
      <c r="J29" s="45">
        <f t="shared" si="111"/>
        <v>0.5</v>
      </c>
    </row>
    <row r="30" ht="90">
      <c r="A30" s="38" t="s">
        <v>25</v>
      </c>
      <c r="B30" s="39" t="s">
        <v>396</v>
      </c>
      <c r="C30" s="40" t="s">
        <v>402</v>
      </c>
      <c r="D30" s="39" t="s">
        <v>403</v>
      </c>
      <c r="E30" s="40" t="s">
        <v>406</v>
      </c>
      <c r="F30" s="34" t="s">
        <v>22</v>
      </c>
      <c r="G30" s="35">
        <f t="shared" si="117"/>
        <v>1</v>
      </c>
      <c r="H30" s="10" t="s">
        <v>53</v>
      </c>
      <c r="I30" s="9">
        <f t="shared" si="110"/>
        <v>0</v>
      </c>
      <c r="J30" s="45">
        <f t="shared" si="111"/>
        <v>0.5</v>
      </c>
    </row>
    <row r="31" ht="90">
      <c r="A31" s="38" t="s">
        <v>25</v>
      </c>
      <c r="B31" s="39" t="s">
        <v>396</v>
      </c>
      <c r="C31" s="40" t="s">
        <v>407</v>
      </c>
      <c r="D31" s="39" t="s">
        <v>408</v>
      </c>
      <c r="E31" s="40" t="s">
        <v>409</v>
      </c>
      <c r="F31" s="34" t="s">
        <v>70</v>
      </c>
      <c r="G31" s="35">
        <f t="shared" si="117"/>
        <v>0.5</v>
      </c>
      <c r="H31" s="10" t="s">
        <v>70</v>
      </c>
      <c r="I31" s="9">
        <f t="shared" si="110"/>
        <v>0.5</v>
      </c>
      <c r="J31" s="45">
        <f t="shared" si="111"/>
        <v>0.5</v>
      </c>
    </row>
    <row r="32" ht="90">
      <c r="A32" s="38" t="s">
        <v>25</v>
      </c>
      <c r="B32" s="39" t="s">
        <v>396</v>
      </c>
      <c r="C32" s="40" t="s">
        <v>407</v>
      </c>
      <c r="D32" s="39" t="s">
        <v>408</v>
      </c>
      <c r="E32" s="40" t="s">
        <v>410</v>
      </c>
      <c r="F32" s="34" t="s">
        <v>22</v>
      </c>
      <c r="G32" s="35">
        <f t="shared" si="117"/>
        <v>1</v>
      </c>
      <c r="H32" s="10" t="s">
        <v>22</v>
      </c>
      <c r="I32" s="9">
        <f t="shared" si="110"/>
        <v>1</v>
      </c>
      <c r="J32" s="45">
        <f t="shared" si="111"/>
        <v>1</v>
      </c>
    </row>
    <row r="33" ht="90">
      <c r="A33" s="38" t="s">
        <v>25</v>
      </c>
      <c r="B33" s="39" t="s">
        <v>396</v>
      </c>
      <c r="C33" s="40" t="s">
        <v>407</v>
      </c>
      <c r="D33" s="39" t="s">
        <v>408</v>
      </c>
      <c r="E33" s="40" t="s">
        <v>436</v>
      </c>
      <c r="F33" s="34" t="s">
        <v>53</v>
      </c>
      <c r="G33" s="35">
        <f t="shared" si="117"/>
        <v>0</v>
      </c>
      <c r="H33" s="34" t="s">
        <v>53</v>
      </c>
      <c r="I33" s="9">
        <f t="shared" si="110"/>
        <v>0</v>
      </c>
      <c r="J33" s="45">
        <f t="shared" si="111"/>
        <v>0</v>
      </c>
    </row>
    <row r="34" ht="90">
      <c r="A34" s="38" t="s">
        <v>25</v>
      </c>
      <c r="B34" s="39" t="s">
        <v>396</v>
      </c>
      <c r="C34" s="40" t="s">
        <v>411</v>
      </c>
      <c r="D34" s="39" t="s">
        <v>412</v>
      </c>
      <c r="E34" s="40" t="s">
        <v>413</v>
      </c>
      <c r="F34" s="34" t="s">
        <v>22</v>
      </c>
      <c r="G34" s="35">
        <f t="shared" si="117"/>
        <v>1</v>
      </c>
      <c r="H34" s="34" t="s">
        <v>22</v>
      </c>
      <c r="I34" s="9">
        <f t="shared" si="110"/>
        <v>1</v>
      </c>
      <c r="J34" s="45">
        <f t="shared" ref="J34:J97" si="118">AVERAGE(G34,I34)</f>
        <v>1</v>
      </c>
    </row>
    <row r="35" ht="72">
      <c r="A35" s="38" t="s">
        <v>25</v>
      </c>
      <c r="B35" s="39" t="s">
        <v>396</v>
      </c>
      <c r="C35" s="40" t="s">
        <v>411</v>
      </c>
      <c r="D35" s="39" t="s">
        <v>412</v>
      </c>
      <c r="E35" s="40" t="s">
        <v>414</v>
      </c>
      <c r="F35" s="34" t="s">
        <v>22</v>
      </c>
      <c r="G35" s="35">
        <f t="shared" si="117"/>
        <v>1</v>
      </c>
      <c r="H35" s="34" t="s">
        <v>22</v>
      </c>
      <c r="I35" s="9">
        <f t="shared" si="110"/>
        <v>1</v>
      </c>
      <c r="J35" s="45">
        <f t="shared" si="118"/>
        <v>1</v>
      </c>
    </row>
    <row r="36" ht="90">
      <c r="A36" s="38" t="s">
        <v>25</v>
      </c>
      <c r="B36" s="39" t="s">
        <v>396</v>
      </c>
      <c r="C36" s="40" t="s">
        <v>411</v>
      </c>
      <c r="D36" s="39" t="s">
        <v>412</v>
      </c>
      <c r="E36" s="40" t="s">
        <v>415</v>
      </c>
      <c r="F36" s="34" t="s">
        <v>70</v>
      </c>
      <c r="G36" s="35">
        <f t="shared" si="117"/>
        <v>0.5</v>
      </c>
      <c r="H36" s="34" t="s">
        <v>70</v>
      </c>
      <c r="I36" s="9">
        <f t="shared" si="110"/>
        <v>0.5</v>
      </c>
      <c r="J36" s="45">
        <f t="shared" si="118"/>
        <v>0.5</v>
      </c>
    </row>
    <row r="37" ht="90">
      <c r="A37" s="38" t="s">
        <v>25</v>
      </c>
      <c r="B37" s="39" t="s">
        <v>396</v>
      </c>
      <c r="C37" s="40" t="s">
        <v>416</v>
      </c>
      <c r="D37" s="39" t="s">
        <v>417</v>
      </c>
      <c r="E37" s="40" t="s">
        <v>418</v>
      </c>
      <c r="F37" s="34" t="s">
        <v>53</v>
      </c>
      <c r="G37" s="35">
        <f t="shared" si="117"/>
        <v>0</v>
      </c>
      <c r="H37" s="34" t="s">
        <v>53</v>
      </c>
      <c r="I37" s="9">
        <f t="shared" si="110"/>
        <v>0</v>
      </c>
      <c r="J37" s="45">
        <f t="shared" si="118"/>
        <v>0</v>
      </c>
    </row>
    <row r="38" ht="90">
      <c r="A38" s="38" t="s">
        <v>25</v>
      </c>
      <c r="B38" s="39" t="s">
        <v>396</v>
      </c>
      <c r="C38" s="40" t="s">
        <v>416</v>
      </c>
      <c r="D38" s="39" t="s">
        <v>417</v>
      </c>
      <c r="E38" s="40" t="s">
        <v>419</v>
      </c>
      <c r="F38" s="34" t="s">
        <v>22</v>
      </c>
      <c r="G38" s="35">
        <f t="shared" si="117"/>
        <v>1</v>
      </c>
      <c r="H38" s="9" t="s">
        <v>70</v>
      </c>
      <c r="I38" s="9">
        <f t="shared" si="110"/>
        <v>0.5</v>
      </c>
      <c r="J38" s="45">
        <f t="shared" si="118"/>
        <v>0.75</v>
      </c>
    </row>
    <row r="39" ht="108">
      <c r="A39" s="38" t="s">
        <v>25</v>
      </c>
      <c r="B39" s="39" t="s">
        <v>396</v>
      </c>
      <c r="C39" s="40" t="s">
        <v>416</v>
      </c>
      <c r="D39" s="39" t="s">
        <v>417</v>
      </c>
      <c r="E39" s="40" t="s">
        <v>420</v>
      </c>
      <c r="F39" s="34" t="s">
        <v>53</v>
      </c>
      <c r="G39" s="35">
        <f t="shared" si="117"/>
        <v>0</v>
      </c>
      <c r="H39" s="10" t="s">
        <v>53</v>
      </c>
      <c r="I39" s="9">
        <f t="shared" si="110"/>
        <v>0</v>
      </c>
      <c r="J39" s="45">
        <f t="shared" si="118"/>
        <v>0</v>
      </c>
    </row>
    <row r="40" ht="54">
      <c r="A40" s="38" t="s">
        <v>25</v>
      </c>
      <c r="B40" s="39" t="s">
        <v>396</v>
      </c>
      <c r="C40" s="40" t="s">
        <v>421</v>
      </c>
      <c r="D40" s="39" t="s">
        <v>422</v>
      </c>
      <c r="E40" s="40" t="s">
        <v>423</v>
      </c>
      <c r="F40" s="34" t="s">
        <v>22</v>
      </c>
      <c r="G40" s="35">
        <f t="shared" si="117"/>
        <v>1</v>
      </c>
      <c r="H40" s="10" t="s">
        <v>22</v>
      </c>
      <c r="I40" s="9">
        <f t="shared" si="110"/>
        <v>1</v>
      </c>
      <c r="J40" s="45">
        <f t="shared" si="118"/>
        <v>1</v>
      </c>
    </row>
    <row r="41" ht="72">
      <c r="A41" s="38" t="s">
        <v>25</v>
      </c>
      <c r="B41" s="39" t="s">
        <v>396</v>
      </c>
      <c r="C41" s="40" t="s">
        <v>421</v>
      </c>
      <c r="D41" s="39" t="s">
        <v>422</v>
      </c>
      <c r="E41" s="40" t="s">
        <v>424</v>
      </c>
      <c r="F41" s="34" t="s">
        <v>22</v>
      </c>
      <c r="G41" s="35">
        <f t="shared" si="117"/>
        <v>1</v>
      </c>
      <c r="H41" s="10" t="s">
        <v>22</v>
      </c>
      <c r="I41" s="9">
        <f t="shared" si="110"/>
        <v>1</v>
      </c>
      <c r="J41" s="45">
        <f t="shared" si="118"/>
        <v>1</v>
      </c>
    </row>
    <row r="42" ht="72">
      <c r="A42" s="38" t="s">
        <v>25</v>
      </c>
      <c r="B42" s="39" t="s">
        <v>396</v>
      </c>
      <c r="C42" s="40" t="s">
        <v>421</v>
      </c>
      <c r="D42" s="39" t="s">
        <v>422</v>
      </c>
      <c r="E42" s="40" t="s">
        <v>425</v>
      </c>
      <c r="F42" s="34" t="s">
        <v>53</v>
      </c>
      <c r="G42" s="35">
        <f t="shared" si="117"/>
        <v>0</v>
      </c>
      <c r="H42" s="10" t="s">
        <v>70</v>
      </c>
      <c r="I42" s="9">
        <f t="shared" si="110"/>
        <v>0.5</v>
      </c>
      <c r="J42" s="45">
        <f t="shared" si="118"/>
        <v>0.25</v>
      </c>
    </row>
    <row r="43" ht="72">
      <c r="A43" s="38" t="s">
        <v>25</v>
      </c>
      <c r="B43" s="39" t="s">
        <v>396</v>
      </c>
      <c r="C43" s="40" t="s">
        <v>426</v>
      </c>
      <c r="D43" s="39" t="s">
        <v>427</v>
      </c>
      <c r="E43" s="40" t="s">
        <v>428</v>
      </c>
      <c r="F43" s="34" t="s">
        <v>22</v>
      </c>
      <c r="G43" s="35">
        <f t="shared" si="117"/>
        <v>1</v>
      </c>
      <c r="H43" s="10" t="s">
        <v>22</v>
      </c>
      <c r="I43" s="9">
        <f t="shared" si="110"/>
        <v>1</v>
      </c>
      <c r="J43" s="45">
        <f t="shared" si="118"/>
        <v>1</v>
      </c>
    </row>
    <row r="44" ht="54">
      <c r="A44" s="38" t="s">
        <v>25</v>
      </c>
      <c r="B44" s="39" t="s">
        <v>396</v>
      </c>
      <c r="C44" s="40" t="s">
        <v>426</v>
      </c>
      <c r="D44" s="39" t="s">
        <v>427</v>
      </c>
      <c r="E44" s="40" t="s">
        <v>429</v>
      </c>
      <c r="F44" s="34" t="s">
        <v>22</v>
      </c>
      <c r="G44" s="35">
        <f t="shared" si="117"/>
        <v>1</v>
      </c>
      <c r="H44" s="10" t="s">
        <v>22</v>
      </c>
      <c r="I44" s="9">
        <f t="shared" si="110"/>
        <v>1</v>
      </c>
      <c r="J44" s="45">
        <f t="shared" si="118"/>
        <v>1</v>
      </c>
    </row>
    <row r="45" ht="72">
      <c r="A45" s="38" t="s">
        <v>25</v>
      </c>
      <c r="B45" s="39" t="s">
        <v>396</v>
      </c>
      <c r="C45" s="40" t="s">
        <v>426</v>
      </c>
      <c r="D45" s="39" t="s">
        <v>427</v>
      </c>
      <c r="E45" s="40" t="s">
        <v>430</v>
      </c>
      <c r="F45" s="34" t="s">
        <v>53</v>
      </c>
      <c r="G45" s="35">
        <f t="shared" si="117"/>
        <v>0</v>
      </c>
      <c r="H45" s="34" t="s">
        <v>53</v>
      </c>
      <c r="I45" s="9">
        <f t="shared" si="110"/>
        <v>0</v>
      </c>
      <c r="J45" s="45">
        <f t="shared" si="118"/>
        <v>0</v>
      </c>
    </row>
    <row r="46" ht="90">
      <c r="A46" s="38" t="s">
        <v>25</v>
      </c>
      <c r="B46" s="39" t="s">
        <v>396</v>
      </c>
      <c r="C46" s="40" t="s">
        <v>431</v>
      </c>
      <c r="D46" s="39" t="s">
        <v>432</v>
      </c>
      <c r="E46" s="40" t="s">
        <v>433</v>
      </c>
      <c r="F46" s="34" t="s">
        <v>22</v>
      </c>
      <c r="G46" s="35">
        <f t="shared" si="117"/>
        <v>1</v>
      </c>
      <c r="H46" s="10" t="s">
        <v>22</v>
      </c>
      <c r="I46" s="9">
        <f t="shared" si="110"/>
        <v>1</v>
      </c>
      <c r="J46" s="45">
        <f t="shared" si="118"/>
        <v>1</v>
      </c>
    </row>
    <row r="47" ht="90">
      <c r="A47" s="38" t="s">
        <v>25</v>
      </c>
      <c r="B47" s="39" t="s">
        <v>396</v>
      </c>
      <c r="C47" s="40" t="s">
        <v>431</v>
      </c>
      <c r="D47" s="39" t="s">
        <v>432</v>
      </c>
      <c r="E47" s="40" t="s">
        <v>434</v>
      </c>
      <c r="F47" s="34" t="s">
        <v>70</v>
      </c>
      <c r="G47" s="35">
        <f t="shared" si="117"/>
        <v>0.5</v>
      </c>
      <c r="H47" s="34" t="s">
        <v>70</v>
      </c>
      <c r="I47" s="9">
        <f t="shared" si="110"/>
        <v>0.5</v>
      </c>
      <c r="J47" s="45">
        <f t="shared" si="118"/>
        <v>0.5</v>
      </c>
    </row>
    <row r="48" ht="90">
      <c r="A48" s="38" t="s">
        <v>25</v>
      </c>
      <c r="B48" s="39" t="s">
        <v>396</v>
      </c>
      <c r="C48" s="40" t="s">
        <v>431</v>
      </c>
      <c r="D48" s="39" t="s">
        <v>432</v>
      </c>
      <c r="E48" s="40" t="s">
        <v>435</v>
      </c>
      <c r="F48" s="34" t="s">
        <v>22</v>
      </c>
      <c r="G48" s="35">
        <f t="shared" si="117"/>
        <v>1</v>
      </c>
      <c r="H48" s="34" t="s">
        <v>22</v>
      </c>
      <c r="I48" s="9">
        <f t="shared" si="110"/>
        <v>1</v>
      </c>
      <c r="J48" s="45">
        <f t="shared" si="118"/>
        <v>1</v>
      </c>
    </row>
    <row r="49" ht="72">
      <c r="A49" s="38" t="s">
        <v>29</v>
      </c>
      <c r="B49" s="39" t="s">
        <v>396</v>
      </c>
      <c r="C49" s="40" t="s">
        <v>397</v>
      </c>
      <c r="D49" s="39" t="s">
        <v>398</v>
      </c>
      <c r="E49" s="40" t="s">
        <v>399</v>
      </c>
      <c r="F49" s="34" t="s">
        <v>70</v>
      </c>
      <c r="G49" s="35">
        <f t="shared" si="117"/>
        <v>0.5</v>
      </c>
      <c r="H49" s="9" t="s">
        <v>31</v>
      </c>
      <c r="I49" s="9">
        <f t="shared" si="110"/>
        <v>0.5</v>
      </c>
      <c r="J49" s="45">
        <f t="shared" si="118"/>
        <v>0.5</v>
      </c>
    </row>
    <row r="50" ht="72">
      <c r="A50" s="38" t="s">
        <v>29</v>
      </c>
      <c r="B50" s="39" t="s">
        <v>396</v>
      </c>
      <c r="C50" s="40" t="s">
        <v>397</v>
      </c>
      <c r="D50" s="39" t="s">
        <v>398</v>
      </c>
      <c r="E50" s="40" t="s">
        <v>400</v>
      </c>
      <c r="F50" s="34" t="s">
        <v>53</v>
      </c>
      <c r="G50" s="35">
        <f t="shared" si="117"/>
        <v>0</v>
      </c>
      <c r="H50" s="34" t="s">
        <v>53</v>
      </c>
      <c r="I50" s="9">
        <f t="shared" si="110"/>
        <v>0</v>
      </c>
      <c r="J50" s="45">
        <f t="shared" si="118"/>
        <v>0</v>
      </c>
    </row>
    <row r="51" ht="72">
      <c r="A51" s="38" t="s">
        <v>29</v>
      </c>
      <c r="B51" s="39" t="s">
        <v>396</v>
      </c>
      <c r="C51" s="40" t="s">
        <v>397</v>
      </c>
      <c r="D51" s="39" t="s">
        <v>398</v>
      </c>
      <c r="E51" s="40" t="s">
        <v>401</v>
      </c>
      <c r="F51" s="34" t="s">
        <v>53</v>
      </c>
      <c r="G51" s="35">
        <f t="shared" si="117"/>
        <v>0</v>
      </c>
      <c r="H51" s="34" t="s">
        <v>53</v>
      </c>
      <c r="I51" s="9">
        <f t="shared" si="110"/>
        <v>0</v>
      </c>
      <c r="J51" s="45">
        <f t="shared" si="118"/>
        <v>0</v>
      </c>
    </row>
    <row r="52" ht="54">
      <c r="A52" s="38" t="s">
        <v>29</v>
      </c>
      <c r="B52" s="39" t="s">
        <v>396</v>
      </c>
      <c r="C52" s="40" t="s">
        <v>402</v>
      </c>
      <c r="D52" s="39" t="s">
        <v>403</v>
      </c>
      <c r="E52" s="40" t="s">
        <v>404</v>
      </c>
      <c r="F52" s="34" t="s">
        <v>53</v>
      </c>
      <c r="G52" s="35">
        <f t="shared" si="117"/>
        <v>0</v>
      </c>
      <c r="H52" s="34" t="s">
        <v>53</v>
      </c>
      <c r="I52" s="9">
        <f t="shared" si="110"/>
        <v>0</v>
      </c>
      <c r="J52" s="45">
        <f t="shared" si="118"/>
        <v>0</v>
      </c>
    </row>
    <row r="53" ht="54">
      <c r="A53" s="38" t="s">
        <v>29</v>
      </c>
      <c r="B53" s="39" t="s">
        <v>396</v>
      </c>
      <c r="C53" s="40" t="s">
        <v>402</v>
      </c>
      <c r="D53" s="39" t="s">
        <v>403</v>
      </c>
      <c r="E53" s="40" t="s">
        <v>405</v>
      </c>
      <c r="F53" s="34" t="s">
        <v>22</v>
      </c>
      <c r="G53" s="35">
        <f t="shared" si="117"/>
        <v>1</v>
      </c>
      <c r="H53" s="9" t="s">
        <v>31</v>
      </c>
      <c r="I53" s="9">
        <f t="shared" si="110"/>
        <v>0.5</v>
      </c>
      <c r="J53" s="45">
        <f t="shared" si="118"/>
        <v>0.75</v>
      </c>
    </row>
    <row r="54" ht="90">
      <c r="A54" s="38" t="s">
        <v>29</v>
      </c>
      <c r="B54" s="39" t="s">
        <v>396</v>
      </c>
      <c r="C54" s="40" t="s">
        <v>402</v>
      </c>
      <c r="D54" s="39" t="s">
        <v>403</v>
      </c>
      <c r="E54" s="40" t="s">
        <v>406</v>
      </c>
      <c r="F54" s="34" t="s">
        <v>22</v>
      </c>
      <c r="G54" s="35">
        <f t="shared" si="117"/>
        <v>1</v>
      </c>
      <c r="H54" s="10" t="s">
        <v>140</v>
      </c>
      <c r="I54" s="9">
        <f t="shared" si="110"/>
        <v>0</v>
      </c>
      <c r="J54" s="45">
        <f t="shared" si="118"/>
        <v>0.5</v>
      </c>
    </row>
    <row r="55" ht="90">
      <c r="A55" s="38" t="s">
        <v>29</v>
      </c>
      <c r="B55" s="39" t="s">
        <v>396</v>
      </c>
      <c r="C55" s="40" t="s">
        <v>407</v>
      </c>
      <c r="D55" s="39" t="s">
        <v>408</v>
      </c>
      <c r="E55" s="40" t="s">
        <v>409</v>
      </c>
      <c r="F55" s="34" t="s">
        <v>53</v>
      </c>
      <c r="G55" s="35">
        <f t="shared" si="117"/>
        <v>0</v>
      </c>
      <c r="H55" s="34" t="s">
        <v>53</v>
      </c>
      <c r="I55" s="9">
        <f t="shared" si="110"/>
        <v>0</v>
      </c>
      <c r="J55" s="45">
        <f t="shared" si="118"/>
        <v>0</v>
      </c>
    </row>
    <row r="56" ht="90">
      <c r="A56" s="38" t="s">
        <v>29</v>
      </c>
      <c r="B56" s="39" t="s">
        <v>396</v>
      </c>
      <c r="C56" s="40" t="s">
        <v>407</v>
      </c>
      <c r="D56" s="39" t="s">
        <v>408</v>
      </c>
      <c r="E56" s="40" t="s">
        <v>410</v>
      </c>
      <c r="F56" s="34" t="s">
        <v>22</v>
      </c>
      <c r="G56" s="35">
        <f t="shared" si="117"/>
        <v>1</v>
      </c>
      <c r="H56" s="10" t="s">
        <v>31</v>
      </c>
      <c r="I56" s="9">
        <f t="shared" si="110"/>
        <v>0.5</v>
      </c>
      <c r="J56" s="45">
        <f t="shared" si="118"/>
        <v>0.75</v>
      </c>
    </row>
    <row r="57" ht="90">
      <c r="A57" s="38" t="s">
        <v>29</v>
      </c>
      <c r="B57" s="39" t="s">
        <v>396</v>
      </c>
      <c r="C57" s="40" t="s">
        <v>407</v>
      </c>
      <c r="D57" s="39" t="s">
        <v>408</v>
      </c>
      <c r="E57" s="40" t="s">
        <v>436</v>
      </c>
      <c r="F57" s="34" t="s">
        <v>22</v>
      </c>
      <c r="G57" s="35">
        <f t="shared" si="117"/>
        <v>1</v>
      </c>
      <c r="H57" s="10" t="s">
        <v>22</v>
      </c>
      <c r="I57" s="9">
        <f t="shared" si="110"/>
        <v>1</v>
      </c>
      <c r="J57" s="45">
        <f t="shared" si="118"/>
        <v>1</v>
      </c>
    </row>
    <row r="58" ht="90">
      <c r="A58" s="38" t="s">
        <v>29</v>
      </c>
      <c r="B58" s="39" t="s">
        <v>396</v>
      </c>
      <c r="C58" s="40" t="s">
        <v>411</v>
      </c>
      <c r="D58" s="39" t="s">
        <v>412</v>
      </c>
      <c r="E58" s="40" t="s">
        <v>413</v>
      </c>
      <c r="F58" s="34" t="s">
        <v>70</v>
      </c>
      <c r="G58" s="35">
        <f t="shared" si="117"/>
        <v>0.5</v>
      </c>
      <c r="H58" s="10" t="s">
        <v>22</v>
      </c>
      <c r="I58" s="9">
        <f t="shared" si="110"/>
        <v>1</v>
      </c>
      <c r="J58" s="45">
        <f t="shared" si="118"/>
        <v>0.75</v>
      </c>
    </row>
    <row r="59" ht="72">
      <c r="A59" s="38" t="s">
        <v>29</v>
      </c>
      <c r="B59" s="39" t="s">
        <v>396</v>
      </c>
      <c r="C59" s="40" t="s">
        <v>411</v>
      </c>
      <c r="D59" s="39" t="s">
        <v>412</v>
      </c>
      <c r="E59" s="40" t="s">
        <v>414</v>
      </c>
      <c r="F59" s="34" t="s">
        <v>70</v>
      </c>
      <c r="G59" s="35">
        <f t="shared" si="117"/>
        <v>0.5</v>
      </c>
      <c r="H59" s="10" t="s">
        <v>22</v>
      </c>
      <c r="I59" s="9">
        <f t="shared" si="110"/>
        <v>1</v>
      </c>
      <c r="J59" s="45">
        <f t="shared" si="118"/>
        <v>0.75</v>
      </c>
    </row>
    <row r="60" ht="90">
      <c r="A60" s="38" t="s">
        <v>29</v>
      </c>
      <c r="B60" s="39" t="s">
        <v>396</v>
      </c>
      <c r="C60" s="40" t="s">
        <v>411</v>
      </c>
      <c r="D60" s="39" t="s">
        <v>412</v>
      </c>
      <c r="E60" s="40" t="s">
        <v>415</v>
      </c>
      <c r="F60" s="34" t="s">
        <v>22</v>
      </c>
      <c r="G60" s="35">
        <f t="shared" si="117"/>
        <v>1</v>
      </c>
      <c r="H60" s="10" t="s">
        <v>31</v>
      </c>
      <c r="I60" s="9">
        <f t="shared" si="110"/>
        <v>0.5</v>
      </c>
      <c r="J60" s="45">
        <f t="shared" si="118"/>
        <v>0.75</v>
      </c>
    </row>
    <row r="61" ht="90">
      <c r="A61" s="38" t="s">
        <v>29</v>
      </c>
      <c r="B61" s="39" t="s">
        <v>396</v>
      </c>
      <c r="C61" s="40" t="s">
        <v>416</v>
      </c>
      <c r="D61" s="39" t="s">
        <v>417</v>
      </c>
      <c r="E61" s="40" t="s">
        <v>418</v>
      </c>
      <c r="F61" s="34" t="s">
        <v>22</v>
      </c>
      <c r="G61" s="35">
        <f t="shared" si="117"/>
        <v>1</v>
      </c>
      <c r="H61" s="10" t="s">
        <v>31</v>
      </c>
      <c r="I61" s="9">
        <f t="shared" si="110"/>
        <v>0.5</v>
      </c>
      <c r="J61" s="45">
        <f t="shared" si="118"/>
        <v>0.75</v>
      </c>
    </row>
    <row r="62" ht="90">
      <c r="A62" s="38" t="s">
        <v>29</v>
      </c>
      <c r="B62" s="39" t="s">
        <v>396</v>
      </c>
      <c r="C62" s="40" t="s">
        <v>416</v>
      </c>
      <c r="D62" s="39" t="s">
        <v>417</v>
      </c>
      <c r="E62" s="40" t="s">
        <v>419</v>
      </c>
      <c r="F62" s="34" t="s">
        <v>70</v>
      </c>
      <c r="G62" s="35">
        <f t="shared" si="117"/>
        <v>0.5</v>
      </c>
      <c r="H62" s="10" t="s">
        <v>31</v>
      </c>
      <c r="I62" s="9">
        <f t="shared" si="110"/>
        <v>0.5</v>
      </c>
      <c r="J62" s="45">
        <f t="shared" si="118"/>
        <v>0.5</v>
      </c>
    </row>
    <row r="63" ht="108">
      <c r="A63" s="38" t="s">
        <v>29</v>
      </c>
      <c r="B63" s="39" t="s">
        <v>396</v>
      </c>
      <c r="C63" s="40" t="s">
        <v>416</v>
      </c>
      <c r="D63" s="39" t="s">
        <v>417</v>
      </c>
      <c r="E63" s="40" t="s">
        <v>420</v>
      </c>
      <c r="F63" s="34" t="s">
        <v>70</v>
      </c>
      <c r="G63" s="35">
        <f t="shared" si="117"/>
        <v>0.5</v>
      </c>
      <c r="H63" s="10" t="s">
        <v>31</v>
      </c>
      <c r="I63" s="9">
        <f t="shared" si="110"/>
        <v>0.5</v>
      </c>
      <c r="J63" s="45">
        <f t="shared" si="118"/>
        <v>0.5</v>
      </c>
    </row>
    <row r="64" ht="54">
      <c r="A64" s="38" t="s">
        <v>29</v>
      </c>
      <c r="B64" s="39" t="s">
        <v>396</v>
      </c>
      <c r="C64" s="40" t="s">
        <v>421</v>
      </c>
      <c r="D64" s="39" t="s">
        <v>422</v>
      </c>
      <c r="E64" s="40" t="s">
        <v>423</v>
      </c>
      <c r="F64" s="34" t="s">
        <v>22</v>
      </c>
      <c r="G64" s="35">
        <f t="shared" si="117"/>
        <v>1</v>
      </c>
      <c r="H64" s="10" t="s">
        <v>22</v>
      </c>
      <c r="I64" s="9">
        <f t="shared" si="110"/>
        <v>1</v>
      </c>
      <c r="J64" s="45">
        <f t="shared" si="118"/>
        <v>1</v>
      </c>
    </row>
    <row r="65" ht="72">
      <c r="A65" s="38" t="s">
        <v>29</v>
      </c>
      <c r="B65" s="39" t="s">
        <v>396</v>
      </c>
      <c r="C65" s="40" t="s">
        <v>421</v>
      </c>
      <c r="D65" s="39" t="s">
        <v>422</v>
      </c>
      <c r="E65" s="40" t="s">
        <v>424</v>
      </c>
      <c r="F65" s="34" t="s">
        <v>22</v>
      </c>
      <c r="G65" s="35">
        <f t="shared" si="117"/>
        <v>1</v>
      </c>
      <c r="H65" s="10" t="s">
        <v>22</v>
      </c>
      <c r="I65" s="9">
        <f t="shared" si="110"/>
        <v>1</v>
      </c>
      <c r="J65" s="45">
        <f t="shared" si="118"/>
        <v>1</v>
      </c>
    </row>
    <row r="66" ht="72">
      <c r="A66" s="38" t="s">
        <v>29</v>
      </c>
      <c r="B66" s="39" t="s">
        <v>396</v>
      </c>
      <c r="C66" s="40" t="s">
        <v>421</v>
      </c>
      <c r="D66" s="39" t="s">
        <v>422</v>
      </c>
      <c r="E66" s="40" t="s">
        <v>425</v>
      </c>
      <c r="F66" s="34" t="s">
        <v>53</v>
      </c>
      <c r="G66" s="35">
        <f t="shared" si="117"/>
        <v>0</v>
      </c>
      <c r="H66" s="10" t="s">
        <v>140</v>
      </c>
      <c r="I66" s="9">
        <f t="shared" ref="I66" si="119">IF(H66="Cumple",1,IF(H66="Cumple Parcialmente",0.5,IF(H66="No Cumple",0,"")))</f>
        <v>0</v>
      </c>
      <c r="J66" s="45">
        <f t="shared" si="118"/>
        <v>0</v>
      </c>
    </row>
    <row r="67" ht="72">
      <c r="A67" s="38" t="s">
        <v>29</v>
      </c>
      <c r="B67" s="39" t="s">
        <v>396</v>
      </c>
      <c r="C67" s="40" t="s">
        <v>426</v>
      </c>
      <c r="D67" s="39" t="s">
        <v>427</v>
      </c>
      <c r="E67" s="40" t="s">
        <v>428</v>
      </c>
      <c r="F67" s="34" t="s">
        <v>53</v>
      </c>
      <c r="G67" s="35">
        <f t="shared" si="117"/>
        <v>0</v>
      </c>
      <c r="H67" s="34" t="s">
        <v>53</v>
      </c>
      <c r="I67" s="9">
        <f t="shared" ref="I67:I130" si="120">IF(H67="Cumple",1,IF(H67="Cumple Parcialmente",0.5,IF(H67="No Cumple",0,"")))</f>
        <v>0</v>
      </c>
      <c r="J67" s="45">
        <f t="shared" si="118"/>
        <v>0</v>
      </c>
    </row>
    <row r="68" ht="54">
      <c r="A68" s="38" t="s">
        <v>29</v>
      </c>
      <c r="B68" s="39" t="s">
        <v>396</v>
      </c>
      <c r="C68" s="40" t="s">
        <v>426</v>
      </c>
      <c r="D68" s="39" t="s">
        <v>427</v>
      </c>
      <c r="E68" s="40" t="s">
        <v>429</v>
      </c>
      <c r="F68" s="34" t="s">
        <v>22</v>
      </c>
      <c r="G68" s="35">
        <f t="shared" si="117"/>
        <v>1</v>
      </c>
      <c r="H68" s="10" t="s">
        <v>31</v>
      </c>
      <c r="I68" s="9">
        <f t="shared" si="120"/>
        <v>0.5</v>
      </c>
      <c r="J68" s="45">
        <f t="shared" si="118"/>
        <v>0.75</v>
      </c>
    </row>
    <row r="69" ht="72">
      <c r="A69" s="38" t="s">
        <v>29</v>
      </c>
      <c r="B69" s="39" t="s">
        <v>396</v>
      </c>
      <c r="C69" s="40" t="s">
        <v>426</v>
      </c>
      <c r="D69" s="39" t="s">
        <v>427</v>
      </c>
      <c r="E69" s="40" t="s">
        <v>430</v>
      </c>
      <c r="F69" s="34" t="s">
        <v>70</v>
      </c>
      <c r="G69" s="35">
        <f t="shared" si="117"/>
        <v>0.5</v>
      </c>
      <c r="H69" s="34" t="s">
        <v>70</v>
      </c>
      <c r="I69" s="9">
        <f t="shared" si="120"/>
        <v>0.5</v>
      </c>
      <c r="J69" s="45">
        <f t="shared" si="118"/>
        <v>0.5</v>
      </c>
    </row>
    <row r="70" ht="90">
      <c r="A70" s="38" t="s">
        <v>29</v>
      </c>
      <c r="B70" s="39" t="s">
        <v>396</v>
      </c>
      <c r="C70" s="40" t="s">
        <v>431</v>
      </c>
      <c r="D70" s="39" t="s">
        <v>432</v>
      </c>
      <c r="E70" s="40" t="s">
        <v>433</v>
      </c>
      <c r="F70" s="34" t="s">
        <v>22</v>
      </c>
      <c r="G70" s="35">
        <f t="shared" si="117"/>
        <v>1</v>
      </c>
      <c r="H70" s="34" t="s">
        <v>22</v>
      </c>
      <c r="I70" s="9">
        <f t="shared" si="120"/>
        <v>1</v>
      </c>
      <c r="J70" s="45">
        <f t="shared" si="118"/>
        <v>1</v>
      </c>
    </row>
    <row r="71" ht="90">
      <c r="A71" s="38" t="s">
        <v>29</v>
      </c>
      <c r="B71" s="39" t="s">
        <v>396</v>
      </c>
      <c r="C71" s="40" t="s">
        <v>431</v>
      </c>
      <c r="D71" s="39" t="s">
        <v>432</v>
      </c>
      <c r="E71" s="40" t="s">
        <v>434</v>
      </c>
      <c r="F71" s="34" t="s">
        <v>22</v>
      </c>
      <c r="G71" s="35">
        <f t="shared" si="117"/>
        <v>1</v>
      </c>
      <c r="H71" s="10" t="s">
        <v>31</v>
      </c>
      <c r="I71" s="9">
        <f t="shared" si="120"/>
        <v>0.5</v>
      </c>
      <c r="J71" s="52">
        <f t="shared" si="118"/>
        <v>0.75</v>
      </c>
    </row>
    <row r="72" ht="90">
      <c r="A72" s="38" t="s">
        <v>29</v>
      </c>
      <c r="B72" s="39" t="s">
        <v>396</v>
      </c>
      <c r="C72" s="40" t="s">
        <v>431</v>
      </c>
      <c r="D72" s="39" t="s">
        <v>432</v>
      </c>
      <c r="E72" s="40" t="s">
        <v>435</v>
      </c>
      <c r="F72" s="34" t="s">
        <v>22</v>
      </c>
      <c r="G72" s="35">
        <f t="shared" si="117"/>
        <v>1</v>
      </c>
      <c r="H72" s="34" t="s">
        <v>31</v>
      </c>
      <c r="I72" s="9">
        <f t="shared" si="120"/>
        <v>0.5</v>
      </c>
      <c r="J72" s="52">
        <f t="shared" si="118"/>
        <v>0.75</v>
      </c>
    </row>
    <row r="73" ht="72">
      <c r="A73" s="38" t="s">
        <v>32</v>
      </c>
      <c r="B73" s="39" t="s">
        <v>396</v>
      </c>
      <c r="C73" s="40" t="s">
        <v>397</v>
      </c>
      <c r="D73" s="39" t="s">
        <v>398</v>
      </c>
      <c r="E73" s="40" t="s">
        <v>399</v>
      </c>
      <c r="F73" s="34" t="s">
        <v>22</v>
      </c>
      <c r="G73" s="35">
        <f t="shared" si="117"/>
        <v>1</v>
      </c>
      <c r="H73" s="10" t="s">
        <v>22</v>
      </c>
      <c r="I73" s="9">
        <f t="shared" si="120"/>
        <v>1</v>
      </c>
      <c r="J73" s="52">
        <f t="shared" si="118"/>
        <v>1</v>
      </c>
    </row>
    <row r="74" ht="72">
      <c r="A74" s="38" t="s">
        <v>32</v>
      </c>
      <c r="B74" s="39" t="s">
        <v>396</v>
      </c>
      <c r="C74" s="40" t="s">
        <v>397</v>
      </c>
      <c r="D74" s="39" t="s">
        <v>398</v>
      </c>
      <c r="E74" s="40" t="s">
        <v>400</v>
      </c>
      <c r="F74" s="34" t="s">
        <v>22</v>
      </c>
      <c r="G74" s="35">
        <f t="shared" si="117"/>
        <v>1</v>
      </c>
      <c r="H74" s="10" t="s">
        <v>70</v>
      </c>
      <c r="I74" s="9">
        <f t="shared" si="120"/>
        <v>0.5</v>
      </c>
      <c r="J74" s="52">
        <f t="shared" si="118"/>
        <v>0.75</v>
      </c>
    </row>
    <row r="75" ht="72">
      <c r="A75" s="38" t="s">
        <v>32</v>
      </c>
      <c r="B75" s="39" t="s">
        <v>396</v>
      </c>
      <c r="C75" s="40" t="s">
        <v>397</v>
      </c>
      <c r="D75" s="39" t="s">
        <v>398</v>
      </c>
      <c r="E75" s="40" t="s">
        <v>401</v>
      </c>
      <c r="F75" s="34" t="s">
        <v>22</v>
      </c>
      <c r="G75" s="35">
        <f t="shared" si="117"/>
        <v>1</v>
      </c>
      <c r="H75" s="10" t="s">
        <v>70</v>
      </c>
      <c r="I75" s="9">
        <f t="shared" si="120"/>
        <v>0.5</v>
      </c>
      <c r="J75" s="52">
        <f t="shared" si="118"/>
        <v>0.75</v>
      </c>
    </row>
    <row r="76" ht="54">
      <c r="A76" s="38" t="s">
        <v>32</v>
      </c>
      <c r="B76" s="39" t="s">
        <v>396</v>
      </c>
      <c r="C76" s="40" t="s">
        <v>402</v>
      </c>
      <c r="D76" s="39" t="s">
        <v>403</v>
      </c>
      <c r="E76" s="40" t="s">
        <v>404</v>
      </c>
      <c r="F76" s="34" t="s">
        <v>22</v>
      </c>
      <c r="G76" s="35">
        <f t="shared" si="117"/>
        <v>1</v>
      </c>
      <c r="H76" s="10" t="s">
        <v>70</v>
      </c>
      <c r="I76" s="9">
        <f t="shared" si="120"/>
        <v>0.5</v>
      </c>
      <c r="J76" s="52">
        <f t="shared" si="118"/>
        <v>0.75</v>
      </c>
    </row>
    <row r="77" ht="54">
      <c r="A77" s="38" t="s">
        <v>32</v>
      </c>
      <c r="B77" s="39" t="s">
        <v>396</v>
      </c>
      <c r="C77" s="40" t="s">
        <v>402</v>
      </c>
      <c r="D77" s="39" t="s">
        <v>403</v>
      </c>
      <c r="E77" s="40" t="s">
        <v>405</v>
      </c>
      <c r="F77" s="34" t="s">
        <v>22</v>
      </c>
      <c r="G77" s="35">
        <f t="shared" si="117"/>
        <v>1</v>
      </c>
      <c r="H77" s="10" t="s">
        <v>70</v>
      </c>
      <c r="I77" s="9">
        <f t="shared" si="120"/>
        <v>0.5</v>
      </c>
      <c r="J77" s="52">
        <f t="shared" si="118"/>
        <v>0.75</v>
      </c>
    </row>
    <row r="78" ht="90">
      <c r="A78" s="38" t="s">
        <v>32</v>
      </c>
      <c r="B78" s="39" t="s">
        <v>396</v>
      </c>
      <c r="C78" s="40" t="s">
        <v>402</v>
      </c>
      <c r="D78" s="39" t="s">
        <v>403</v>
      </c>
      <c r="E78" s="40" t="s">
        <v>406</v>
      </c>
      <c r="F78" s="34" t="s">
        <v>22</v>
      </c>
      <c r="G78" s="35">
        <f t="shared" si="117"/>
        <v>1</v>
      </c>
      <c r="H78" s="10" t="s">
        <v>53</v>
      </c>
      <c r="I78" s="9">
        <f t="shared" si="120"/>
        <v>0</v>
      </c>
      <c r="J78" s="52">
        <f t="shared" si="118"/>
        <v>0.5</v>
      </c>
    </row>
    <row r="79" ht="90">
      <c r="A79" s="38" t="s">
        <v>32</v>
      </c>
      <c r="B79" s="39" t="s">
        <v>396</v>
      </c>
      <c r="C79" s="40" t="s">
        <v>407</v>
      </c>
      <c r="D79" s="39" t="s">
        <v>408</v>
      </c>
      <c r="E79" s="40" t="s">
        <v>409</v>
      </c>
      <c r="F79" s="34" t="s">
        <v>22</v>
      </c>
      <c r="G79" s="35">
        <f t="shared" si="117"/>
        <v>1</v>
      </c>
      <c r="H79" s="10" t="s">
        <v>22</v>
      </c>
      <c r="I79" s="9">
        <f t="shared" si="120"/>
        <v>1</v>
      </c>
      <c r="J79" s="52">
        <f t="shared" si="118"/>
        <v>1</v>
      </c>
    </row>
    <row r="80" ht="90">
      <c r="A80" s="38" t="s">
        <v>32</v>
      </c>
      <c r="B80" s="39" t="s">
        <v>396</v>
      </c>
      <c r="C80" s="40" t="s">
        <v>407</v>
      </c>
      <c r="D80" s="39" t="s">
        <v>408</v>
      </c>
      <c r="E80" s="40" t="s">
        <v>410</v>
      </c>
      <c r="F80" s="34" t="s">
        <v>22</v>
      </c>
      <c r="G80" s="35">
        <f t="shared" si="117"/>
        <v>1</v>
      </c>
      <c r="H80" s="10" t="s">
        <v>22</v>
      </c>
      <c r="I80" s="9">
        <f t="shared" si="120"/>
        <v>1</v>
      </c>
      <c r="J80" s="52">
        <f t="shared" si="118"/>
        <v>1</v>
      </c>
    </row>
    <row r="81" ht="90">
      <c r="A81" s="38" t="s">
        <v>32</v>
      </c>
      <c r="B81" s="39" t="s">
        <v>396</v>
      </c>
      <c r="C81" s="40" t="s">
        <v>407</v>
      </c>
      <c r="D81" s="39" t="s">
        <v>408</v>
      </c>
      <c r="E81" s="40" t="s">
        <v>436</v>
      </c>
      <c r="F81" s="34" t="s">
        <v>22</v>
      </c>
      <c r="G81" s="35">
        <f t="shared" si="117"/>
        <v>1</v>
      </c>
      <c r="H81" s="10" t="s">
        <v>70</v>
      </c>
      <c r="I81" s="9">
        <f t="shared" si="120"/>
        <v>0.5</v>
      </c>
      <c r="J81" s="52">
        <f t="shared" si="118"/>
        <v>0.75</v>
      </c>
    </row>
    <row r="82" ht="90">
      <c r="A82" s="38" t="s">
        <v>32</v>
      </c>
      <c r="B82" s="39" t="s">
        <v>396</v>
      </c>
      <c r="C82" s="40" t="s">
        <v>411</v>
      </c>
      <c r="D82" s="39" t="s">
        <v>412</v>
      </c>
      <c r="E82" s="40" t="s">
        <v>413</v>
      </c>
      <c r="F82" s="34" t="s">
        <v>22</v>
      </c>
      <c r="G82" s="35">
        <f t="shared" si="117"/>
        <v>1</v>
      </c>
      <c r="H82" s="10" t="s">
        <v>22</v>
      </c>
      <c r="I82" s="9">
        <f t="shared" si="120"/>
        <v>1</v>
      </c>
      <c r="J82" s="52">
        <f t="shared" si="118"/>
        <v>1</v>
      </c>
    </row>
    <row r="83" ht="72">
      <c r="A83" s="38" t="s">
        <v>32</v>
      </c>
      <c r="B83" s="39" t="s">
        <v>396</v>
      </c>
      <c r="C83" s="40" t="s">
        <v>411</v>
      </c>
      <c r="D83" s="39" t="s">
        <v>412</v>
      </c>
      <c r="E83" s="40" t="s">
        <v>414</v>
      </c>
      <c r="F83" s="34" t="s">
        <v>70</v>
      </c>
      <c r="G83" s="35">
        <f t="shared" si="117"/>
        <v>0.5</v>
      </c>
      <c r="H83" s="10" t="s">
        <v>70</v>
      </c>
      <c r="I83" s="9">
        <f t="shared" si="120"/>
        <v>0.5</v>
      </c>
      <c r="J83" s="52">
        <f t="shared" si="118"/>
        <v>0.5</v>
      </c>
    </row>
    <row r="84" ht="90">
      <c r="A84" s="38" t="s">
        <v>32</v>
      </c>
      <c r="B84" s="39" t="s">
        <v>396</v>
      </c>
      <c r="C84" s="40" t="s">
        <v>411</v>
      </c>
      <c r="D84" s="39" t="s">
        <v>412</v>
      </c>
      <c r="E84" s="40" t="s">
        <v>415</v>
      </c>
      <c r="F84" s="34" t="s">
        <v>22</v>
      </c>
      <c r="G84" s="35">
        <f t="shared" si="117"/>
        <v>1</v>
      </c>
      <c r="H84" s="10" t="s">
        <v>70</v>
      </c>
      <c r="I84" s="9">
        <f t="shared" si="120"/>
        <v>0.5</v>
      </c>
      <c r="J84" s="52">
        <f t="shared" si="118"/>
        <v>0.75</v>
      </c>
    </row>
    <row r="85" ht="90">
      <c r="A85" s="38" t="s">
        <v>32</v>
      </c>
      <c r="B85" s="39" t="s">
        <v>396</v>
      </c>
      <c r="C85" s="40" t="s">
        <v>416</v>
      </c>
      <c r="D85" s="39" t="s">
        <v>417</v>
      </c>
      <c r="E85" s="40" t="s">
        <v>418</v>
      </c>
      <c r="F85" s="34" t="s">
        <v>70</v>
      </c>
      <c r="G85" s="35">
        <f t="shared" si="117"/>
        <v>0.5</v>
      </c>
      <c r="H85" s="10" t="s">
        <v>70</v>
      </c>
      <c r="I85" s="9">
        <f t="shared" si="120"/>
        <v>0.5</v>
      </c>
      <c r="J85" s="52">
        <f t="shared" si="118"/>
        <v>0.5</v>
      </c>
    </row>
    <row r="86" ht="90">
      <c r="A86" s="38" t="s">
        <v>32</v>
      </c>
      <c r="B86" s="39" t="s">
        <v>396</v>
      </c>
      <c r="C86" s="40" t="s">
        <v>416</v>
      </c>
      <c r="D86" s="39" t="s">
        <v>417</v>
      </c>
      <c r="E86" s="40" t="s">
        <v>419</v>
      </c>
      <c r="F86" s="34" t="s">
        <v>22</v>
      </c>
      <c r="G86" s="35">
        <f t="shared" si="117"/>
        <v>1</v>
      </c>
      <c r="H86" s="10" t="s">
        <v>22</v>
      </c>
      <c r="I86" s="9">
        <f t="shared" si="120"/>
        <v>1</v>
      </c>
      <c r="J86" s="52">
        <f t="shared" si="118"/>
        <v>1</v>
      </c>
    </row>
    <row r="87" ht="108">
      <c r="A87" s="38" t="s">
        <v>32</v>
      </c>
      <c r="B87" s="39" t="s">
        <v>396</v>
      </c>
      <c r="C87" s="40" t="s">
        <v>416</v>
      </c>
      <c r="D87" s="39" t="s">
        <v>417</v>
      </c>
      <c r="E87" s="40" t="s">
        <v>420</v>
      </c>
      <c r="F87" s="34" t="s">
        <v>22</v>
      </c>
      <c r="G87" s="35">
        <f t="shared" si="117"/>
        <v>1</v>
      </c>
      <c r="H87" s="10" t="s">
        <v>70</v>
      </c>
      <c r="I87" s="9">
        <f t="shared" si="120"/>
        <v>0.5</v>
      </c>
      <c r="J87" s="52">
        <f t="shared" si="118"/>
        <v>0.75</v>
      </c>
    </row>
    <row r="88" ht="54">
      <c r="A88" s="38" t="s">
        <v>32</v>
      </c>
      <c r="B88" s="39" t="s">
        <v>396</v>
      </c>
      <c r="C88" s="40" t="s">
        <v>421</v>
      </c>
      <c r="D88" s="39" t="s">
        <v>422</v>
      </c>
      <c r="E88" s="40" t="s">
        <v>423</v>
      </c>
      <c r="F88" s="34" t="s">
        <v>22</v>
      </c>
      <c r="G88" s="35">
        <f t="shared" si="117"/>
        <v>1</v>
      </c>
      <c r="H88" s="10" t="s">
        <v>22</v>
      </c>
      <c r="I88" s="9">
        <f t="shared" si="120"/>
        <v>1</v>
      </c>
      <c r="J88" s="52">
        <f t="shared" si="118"/>
        <v>1</v>
      </c>
    </row>
    <row r="89" ht="72">
      <c r="A89" s="38" t="s">
        <v>32</v>
      </c>
      <c r="B89" s="39" t="s">
        <v>396</v>
      </c>
      <c r="C89" s="40" t="s">
        <v>421</v>
      </c>
      <c r="D89" s="39" t="s">
        <v>422</v>
      </c>
      <c r="E89" s="40" t="s">
        <v>424</v>
      </c>
      <c r="F89" s="34" t="s">
        <v>22</v>
      </c>
      <c r="G89" s="35">
        <f t="shared" si="117"/>
        <v>1</v>
      </c>
      <c r="H89" s="10" t="s">
        <v>22</v>
      </c>
      <c r="I89" s="9">
        <f t="shared" si="120"/>
        <v>1</v>
      </c>
      <c r="J89" s="52">
        <f t="shared" si="118"/>
        <v>1</v>
      </c>
    </row>
    <row r="90" ht="72">
      <c r="A90" s="38" t="s">
        <v>32</v>
      </c>
      <c r="B90" s="39" t="s">
        <v>396</v>
      </c>
      <c r="C90" s="40" t="s">
        <v>421</v>
      </c>
      <c r="D90" s="39" t="s">
        <v>422</v>
      </c>
      <c r="E90" s="40" t="s">
        <v>425</v>
      </c>
      <c r="F90" s="34" t="s">
        <v>22</v>
      </c>
      <c r="G90" s="35">
        <f t="shared" si="117"/>
        <v>1</v>
      </c>
      <c r="H90" s="10" t="s">
        <v>70</v>
      </c>
      <c r="I90" s="9">
        <f t="shared" si="120"/>
        <v>0.5</v>
      </c>
      <c r="J90" s="52">
        <f t="shared" si="118"/>
        <v>0.75</v>
      </c>
    </row>
    <row r="91" ht="72">
      <c r="A91" s="38" t="s">
        <v>32</v>
      </c>
      <c r="B91" s="39" t="s">
        <v>396</v>
      </c>
      <c r="C91" s="40" t="s">
        <v>426</v>
      </c>
      <c r="D91" s="39" t="s">
        <v>427</v>
      </c>
      <c r="E91" s="40" t="s">
        <v>428</v>
      </c>
      <c r="F91" s="34" t="s">
        <v>22</v>
      </c>
      <c r="G91" s="35">
        <f t="shared" si="117"/>
        <v>1</v>
      </c>
      <c r="H91" s="10" t="s">
        <v>70</v>
      </c>
      <c r="I91" s="9">
        <f t="shared" si="120"/>
        <v>0.5</v>
      </c>
      <c r="J91" s="52">
        <f t="shared" si="118"/>
        <v>0.75</v>
      </c>
    </row>
    <row r="92" ht="54">
      <c r="A92" s="38" t="s">
        <v>32</v>
      </c>
      <c r="B92" s="39" t="s">
        <v>396</v>
      </c>
      <c r="C92" s="40" t="s">
        <v>426</v>
      </c>
      <c r="D92" s="39" t="s">
        <v>427</v>
      </c>
      <c r="E92" s="40" t="s">
        <v>429</v>
      </c>
      <c r="F92" s="34" t="s">
        <v>53</v>
      </c>
      <c r="G92" s="35">
        <f t="shared" si="117"/>
        <v>0</v>
      </c>
      <c r="H92" s="10" t="s">
        <v>70</v>
      </c>
      <c r="I92" s="9">
        <f t="shared" si="120"/>
        <v>0.5</v>
      </c>
      <c r="J92" s="52">
        <f t="shared" si="118"/>
        <v>0.25</v>
      </c>
    </row>
    <row r="93" ht="72">
      <c r="A93" s="38" t="s">
        <v>32</v>
      </c>
      <c r="B93" s="39" t="s">
        <v>396</v>
      </c>
      <c r="C93" s="40" t="s">
        <v>426</v>
      </c>
      <c r="D93" s="39" t="s">
        <v>427</v>
      </c>
      <c r="E93" s="40" t="s">
        <v>430</v>
      </c>
      <c r="F93" s="34" t="s">
        <v>22</v>
      </c>
      <c r="G93" s="35">
        <f t="shared" ref="G93:G156" si="121">IF(F93="Cumple",1,IF(F93="Cumple Parcialmente",0.5,IF(F93="No Cumple",0,"")))</f>
        <v>1</v>
      </c>
      <c r="H93" s="10" t="s">
        <v>22</v>
      </c>
      <c r="I93" s="9">
        <f t="shared" si="120"/>
        <v>1</v>
      </c>
      <c r="J93" s="52">
        <f t="shared" si="118"/>
        <v>1</v>
      </c>
    </row>
    <row r="94" ht="90">
      <c r="A94" s="38" t="s">
        <v>32</v>
      </c>
      <c r="B94" s="39" t="s">
        <v>396</v>
      </c>
      <c r="C94" s="40" t="s">
        <v>431</v>
      </c>
      <c r="D94" s="39" t="s">
        <v>432</v>
      </c>
      <c r="E94" s="40" t="s">
        <v>433</v>
      </c>
      <c r="F94" s="34" t="s">
        <v>22</v>
      </c>
      <c r="G94" s="35">
        <f t="shared" si="121"/>
        <v>1</v>
      </c>
      <c r="H94" s="10" t="s">
        <v>22</v>
      </c>
      <c r="I94" s="9">
        <f t="shared" si="120"/>
        <v>1</v>
      </c>
      <c r="J94" s="52">
        <f t="shared" si="118"/>
        <v>1</v>
      </c>
    </row>
    <row r="95" ht="90">
      <c r="A95" s="38" t="s">
        <v>32</v>
      </c>
      <c r="B95" s="39" t="s">
        <v>396</v>
      </c>
      <c r="C95" s="40" t="s">
        <v>431</v>
      </c>
      <c r="D95" s="39" t="s">
        <v>432</v>
      </c>
      <c r="E95" s="40" t="s">
        <v>434</v>
      </c>
      <c r="F95" s="34" t="s">
        <v>22</v>
      </c>
      <c r="G95" s="35">
        <f t="shared" si="121"/>
        <v>1</v>
      </c>
      <c r="H95" s="10" t="s">
        <v>22</v>
      </c>
      <c r="I95" s="9">
        <f t="shared" si="120"/>
        <v>1</v>
      </c>
      <c r="J95" s="52">
        <f t="shared" si="118"/>
        <v>1</v>
      </c>
    </row>
    <row r="96" ht="90">
      <c r="A96" s="38" t="s">
        <v>32</v>
      </c>
      <c r="B96" s="39" t="s">
        <v>396</v>
      </c>
      <c r="C96" s="40" t="s">
        <v>431</v>
      </c>
      <c r="D96" s="39" t="s">
        <v>432</v>
      </c>
      <c r="E96" s="40" t="s">
        <v>435</v>
      </c>
      <c r="F96" s="34" t="s">
        <v>22</v>
      </c>
      <c r="G96" s="35">
        <f t="shared" si="121"/>
        <v>1</v>
      </c>
      <c r="H96" s="10" t="s">
        <v>22</v>
      </c>
      <c r="I96" s="9">
        <f t="shared" si="120"/>
        <v>1</v>
      </c>
      <c r="J96" s="52">
        <f t="shared" si="118"/>
        <v>1</v>
      </c>
    </row>
    <row r="97" ht="72">
      <c r="A97" s="38" t="s">
        <v>36</v>
      </c>
      <c r="B97" s="39" t="s">
        <v>396</v>
      </c>
      <c r="C97" s="40" t="s">
        <v>397</v>
      </c>
      <c r="D97" s="39" t="s">
        <v>398</v>
      </c>
      <c r="E97" s="40" t="s">
        <v>399</v>
      </c>
      <c r="F97" s="34" t="s">
        <v>22</v>
      </c>
      <c r="G97" s="35">
        <f t="shared" si="121"/>
        <v>1</v>
      </c>
      <c r="H97" s="10" t="s">
        <v>22</v>
      </c>
      <c r="I97" s="9">
        <f t="shared" si="120"/>
        <v>1</v>
      </c>
      <c r="J97" s="52">
        <f t="shared" si="118"/>
        <v>1</v>
      </c>
    </row>
    <row r="98" ht="72">
      <c r="A98" s="38" t="s">
        <v>36</v>
      </c>
      <c r="B98" s="39" t="s">
        <v>396</v>
      </c>
      <c r="C98" s="40" t="s">
        <v>397</v>
      </c>
      <c r="D98" s="39" t="s">
        <v>398</v>
      </c>
      <c r="E98" s="40" t="s">
        <v>400</v>
      </c>
      <c r="F98" s="34" t="s">
        <v>22</v>
      </c>
      <c r="G98" s="35">
        <f t="shared" si="121"/>
        <v>1</v>
      </c>
      <c r="H98" s="10" t="s">
        <v>22</v>
      </c>
      <c r="I98" s="9">
        <f t="shared" si="120"/>
        <v>1</v>
      </c>
      <c r="J98" s="52">
        <f t="shared" ref="J98:J129" si="122">AVERAGE(G98,I98)</f>
        <v>1</v>
      </c>
    </row>
    <row r="99" ht="72">
      <c r="A99" s="38" t="s">
        <v>36</v>
      </c>
      <c r="B99" s="39" t="s">
        <v>396</v>
      </c>
      <c r="C99" s="40" t="s">
        <v>397</v>
      </c>
      <c r="D99" s="39" t="s">
        <v>398</v>
      </c>
      <c r="E99" s="40" t="s">
        <v>401</v>
      </c>
      <c r="F99" s="34" t="s">
        <v>22</v>
      </c>
      <c r="G99" s="35">
        <f t="shared" si="121"/>
        <v>1</v>
      </c>
      <c r="H99" s="10" t="s">
        <v>22</v>
      </c>
      <c r="I99" s="9">
        <f t="shared" si="120"/>
        <v>1</v>
      </c>
      <c r="J99" s="52">
        <f t="shared" si="122"/>
        <v>1</v>
      </c>
    </row>
    <row r="100" ht="54">
      <c r="A100" s="38" t="s">
        <v>36</v>
      </c>
      <c r="B100" s="39" t="s">
        <v>396</v>
      </c>
      <c r="C100" s="40" t="s">
        <v>402</v>
      </c>
      <c r="D100" s="39" t="s">
        <v>403</v>
      </c>
      <c r="E100" s="40" t="s">
        <v>404</v>
      </c>
      <c r="F100" s="34" t="s">
        <v>22</v>
      </c>
      <c r="G100" s="35">
        <f t="shared" si="121"/>
        <v>1</v>
      </c>
      <c r="H100" s="10" t="s">
        <v>22</v>
      </c>
      <c r="I100" s="9">
        <f t="shared" si="120"/>
        <v>1</v>
      </c>
      <c r="J100" s="52">
        <f t="shared" si="122"/>
        <v>1</v>
      </c>
    </row>
    <row r="101" ht="54">
      <c r="A101" s="38" t="s">
        <v>36</v>
      </c>
      <c r="B101" s="39" t="s">
        <v>396</v>
      </c>
      <c r="C101" s="40" t="s">
        <v>402</v>
      </c>
      <c r="D101" s="39" t="s">
        <v>403</v>
      </c>
      <c r="E101" s="40" t="s">
        <v>405</v>
      </c>
      <c r="F101" s="34" t="s">
        <v>70</v>
      </c>
      <c r="G101" s="35">
        <f t="shared" si="121"/>
        <v>0.5</v>
      </c>
      <c r="H101" s="10" t="s">
        <v>70</v>
      </c>
      <c r="I101" s="9">
        <f t="shared" si="120"/>
        <v>0.5</v>
      </c>
      <c r="J101" s="52">
        <f t="shared" si="122"/>
        <v>0.5</v>
      </c>
    </row>
    <row r="102" ht="90">
      <c r="A102" s="38" t="s">
        <v>36</v>
      </c>
      <c r="B102" s="39" t="s">
        <v>396</v>
      </c>
      <c r="C102" s="40" t="s">
        <v>402</v>
      </c>
      <c r="D102" s="39" t="s">
        <v>403</v>
      </c>
      <c r="E102" s="40" t="s">
        <v>406</v>
      </c>
      <c r="F102" s="34" t="s">
        <v>22</v>
      </c>
      <c r="G102" s="35">
        <f t="shared" si="121"/>
        <v>1</v>
      </c>
      <c r="H102" s="34" t="s">
        <v>22</v>
      </c>
      <c r="I102" s="9">
        <f t="shared" si="120"/>
        <v>1</v>
      </c>
      <c r="J102" s="52">
        <f t="shared" si="122"/>
        <v>1</v>
      </c>
    </row>
    <row r="103" ht="90">
      <c r="A103" s="38" t="s">
        <v>36</v>
      </c>
      <c r="B103" s="39" t="s">
        <v>396</v>
      </c>
      <c r="C103" s="40" t="s">
        <v>407</v>
      </c>
      <c r="D103" s="39" t="s">
        <v>408</v>
      </c>
      <c r="E103" s="40" t="s">
        <v>409</v>
      </c>
      <c r="F103" s="34" t="s">
        <v>70</v>
      </c>
      <c r="G103" s="35">
        <f t="shared" si="121"/>
        <v>0.5</v>
      </c>
      <c r="H103" s="34" t="s">
        <v>70</v>
      </c>
      <c r="I103" s="9">
        <f t="shared" si="120"/>
        <v>0.5</v>
      </c>
      <c r="J103" s="52">
        <f t="shared" si="122"/>
        <v>0.5</v>
      </c>
    </row>
    <row r="104" ht="90">
      <c r="A104" s="38" t="s">
        <v>36</v>
      </c>
      <c r="B104" s="39" t="s">
        <v>396</v>
      </c>
      <c r="C104" s="40" t="s">
        <v>407</v>
      </c>
      <c r="D104" s="39" t="s">
        <v>408</v>
      </c>
      <c r="E104" s="40" t="s">
        <v>410</v>
      </c>
      <c r="F104" s="34" t="s">
        <v>22</v>
      </c>
      <c r="G104" s="35">
        <f t="shared" si="121"/>
        <v>1</v>
      </c>
      <c r="H104" s="10" t="s">
        <v>22</v>
      </c>
      <c r="I104" s="9">
        <f t="shared" si="120"/>
        <v>1</v>
      </c>
      <c r="J104" s="52">
        <f t="shared" si="122"/>
        <v>1</v>
      </c>
    </row>
    <row r="105" ht="90">
      <c r="A105" s="38" t="s">
        <v>36</v>
      </c>
      <c r="B105" s="39" t="s">
        <v>396</v>
      </c>
      <c r="C105" s="40" t="s">
        <v>407</v>
      </c>
      <c r="D105" s="39" t="s">
        <v>408</v>
      </c>
      <c r="E105" s="40" t="s">
        <v>436</v>
      </c>
      <c r="F105" s="34" t="s">
        <v>53</v>
      </c>
      <c r="G105" s="35">
        <f t="shared" si="121"/>
        <v>0</v>
      </c>
      <c r="H105" s="34" t="s">
        <v>53</v>
      </c>
      <c r="I105" s="9">
        <f t="shared" si="120"/>
        <v>0</v>
      </c>
      <c r="J105" s="52">
        <f t="shared" si="122"/>
        <v>0</v>
      </c>
    </row>
    <row r="106" ht="90">
      <c r="A106" s="38" t="s">
        <v>36</v>
      </c>
      <c r="B106" s="39" t="s">
        <v>396</v>
      </c>
      <c r="C106" s="40" t="s">
        <v>411</v>
      </c>
      <c r="D106" s="39" t="s">
        <v>412</v>
      </c>
      <c r="E106" s="40" t="s">
        <v>413</v>
      </c>
      <c r="F106" s="34" t="s">
        <v>22</v>
      </c>
      <c r="G106" s="35">
        <f t="shared" si="121"/>
        <v>1</v>
      </c>
      <c r="H106" s="34" t="s">
        <v>22</v>
      </c>
      <c r="I106" s="9">
        <f t="shared" si="120"/>
        <v>1</v>
      </c>
      <c r="J106" s="52">
        <f t="shared" si="122"/>
        <v>1</v>
      </c>
    </row>
    <row r="107" ht="72">
      <c r="A107" s="38" t="s">
        <v>36</v>
      </c>
      <c r="B107" s="39" t="s">
        <v>396</v>
      </c>
      <c r="C107" s="40" t="s">
        <v>411</v>
      </c>
      <c r="D107" s="39" t="s">
        <v>412</v>
      </c>
      <c r="E107" s="40" t="s">
        <v>414</v>
      </c>
      <c r="F107" s="34" t="s">
        <v>22</v>
      </c>
      <c r="G107" s="35">
        <f t="shared" si="121"/>
        <v>1</v>
      </c>
      <c r="H107" s="34" t="s">
        <v>22</v>
      </c>
      <c r="I107" s="9">
        <f t="shared" si="120"/>
        <v>1</v>
      </c>
      <c r="J107" s="52">
        <f t="shared" si="122"/>
        <v>1</v>
      </c>
    </row>
    <row r="108" ht="90">
      <c r="A108" s="38" t="s">
        <v>36</v>
      </c>
      <c r="B108" s="39" t="s">
        <v>396</v>
      </c>
      <c r="C108" s="40" t="s">
        <v>411</v>
      </c>
      <c r="D108" s="39" t="s">
        <v>412</v>
      </c>
      <c r="E108" s="40" t="s">
        <v>415</v>
      </c>
      <c r="F108" s="34" t="s">
        <v>22</v>
      </c>
      <c r="G108" s="35">
        <f t="shared" si="121"/>
        <v>1</v>
      </c>
      <c r="H108" s="34" t="s">
        <v>70</v>
      </c>
      <c r="I108" s="9">
        <f t="shared" si="120"/>
        <v>0.5</v>
      </c>
      <c r="J108" s="52">
        <f t="shared" si="122"/>
        <v>0.75</v>
      </c>
    </row>
    <row r="109" ht="90">
      <c r="A109" s="38" t="s">
        <v>36</v>
      </c>
      <c r="B109" s="39" t="s">
        <v>396</v>
      </c>
      <c r="C109" s="40" t="s">
        <v>416</v>
      </c>
      <c r="D109" s="39" t="s">
        <v>417</v>
      </c>
      <c r="E109" s="40" t="s">
        <v>418</v>
      </c>
      <c r="F109" s="34" t="s">
        <v>22</v>
      </c>
      <c r="G109" s="35">
        <f t="shared" si="121"/>
        <v>1</v>
      </c>
      <c r="H109" s="34" t="s">
        <v>70</v>
      </c>
      <c r="I109" s="9">
        <f t="shared" si="120"/>
        <v>0.5</v>
      </c>
      <c r="J109" s="52">
        <f t="shared" si="122"/>
        <v>0.75</v>
      </c>
    </row>
    <row r="110" ht="90">
      <c r="A110" s="38" t="s">
        <v>36</v>
      </c>
      <c r="B110" s="39" t="s">
        <v>396</v>
      </c>
      <c r="C110" s="40" t="s">
        <v>416</v>
      </c>
      <c r="D110" s="39" t="s">
        <v>417</v>
      </c>
      <c r="E110" s="40" t="s">
        <v>419</v>
      </c>
      <c r="F110" s="34" t="s">
        <v>22</v>
      </c>
      <c r="G110" s="35">
        <f t="shared" si="121"/>
        <v>1</v>
      </c>
      <c r="H110" s="34" t="s">
        <v>22</v>
      </c>
      <c r="I110" s="9">
        <f t="shared" si="120"/>
        <v>1</v>
      </c>
      <c r="J110" s="52">
        <f t="shared" si="122"/>
        <v>1</v>
      </c>
    </row>
    <row r="111" ht="108">
      <c r="A111" s="38" t="s">
        <v>36</v>
      </c>
      <c r="B111" s="39" t="s">
        <v>396</v>
      </c>
      <c r="C111" s="40" t="s">
        <v>416</v>
      </c>
      <c r="D111" s="39" t="s">
        <v>417</v>
      </c>
      <c r="E111" s="40" t="s">
        <v>420</v>
      </c>
      <c r="F111" s="34" t="s">
        <v>22</v>
      </c>
      <c r="G111" s="35">
        <f t="shared" si="121"/>
        <v>1</v>
      </c>
      <c r="H111" s="34" t="s">
        <v>70</v>
      </c>
      <c r="I111" s="9">
        <f t="shared" si="120"/>
        <v>0.5</v>
      </c>
      <c r="J111" s="52">
        <f t="shared" si="122"/>
        <v>0.75</v>
      </c>
    </row>
    <row r="112" ht="54">
      <c r="A112" s="38" t="s">
        <v>36</v>
      </c>
      <c r="B112" s="39" t="s">
        <v>396</v>
      </c>
      <c r="C112" s="40" t="s">
        <v>421</v>
      </c>
      <c r="D112" s="39" t="s">
        <v>422</v>
      </c>
      <c r="E112" s="40" t="s">
        <v>423</v>
      </c>
      <c r="F112" s="34" t="s">
        <v>22</v>
      </c>
      <c r="G112" s="35">
        <f t="shared" si="121"/>
        <v>1</v>
      </c>
      <c r="H112" s="10" t="s">
        <v>22</v>
      </c>
      <c r="I112" s="9">
        <f t="shared" si="120"/>
        <v>1</v>
      </c>
      <c r="J112" s="52">
        <f t="shared" si="122"/>
        <v>1</v>
      </c>
    </row>
    <row r="113" ht="72">
      <c r="A113" s="38" t="s">
        <v>36</v>
      </c>
      <c r="B113" s="39" t="s">
        <v>396</v>
      </c>
      <c r="C113" s="40" t="s">
        <v>421</v>
      </c>
      <c r="D113" s="39" t="s">
        <v>422</v>
      </c>
      <c r="E113" s="40" t="s">
        <v>424</v>
      </c>
      <c r="F113" s="34" t="s">
        <v>22</v>
      </c>
      <c r="G113" s="35">
        <f t="shared" si="121"/>
        <v>1</v>
      </c>
      <c r="H113" s="10" t="s">
        <v>22</v>
      </c>
      <c r="I113" s="9">
        <f t="shared" si="120"/>
        <v>1</v>
      </c>
      <c r="J113" s="52">
        <f t="shared" si="122"/>
        <v>1</v>
      </c>
    </row>
    <row r="114" ht="72">
      <c r="A114" s="38" t="s">
        <v>36</v>
      </c>
      <c r="B114" s="39" t="s">
        <v>396</v>
      </c>
      <c r="C114" s="40" t="s">
        <v>421</v>
      </c>
      <c r="D114" s="39" t="s">
        <v>422</v>
      </c>
      <c r="E114" s="40" t="s">
        <v>425</v>
      </c>
      <c r="F114" s="34" t="s">
        <v>22</v>
      </c>
      <c r="G114" s="35">
        <f t="shared" si="121"/>
        <v>1</v>
      </c>
      <c r="H114" s="10" t="s">
        <v>22</v>
      </c>
      <c r="I114" s="9">
        <f t="shared" si="120"/>
        <v>1</v>
      </c>
      <c r="J114" s="52">
        <f t="shared" si="122"/>
        <v>1</v>
      </c>
    </row>
    <row r="115" ht="72">
      <c r="A115" s="38" t="s">
        <v>36</v>
      </c>
      <c r="B115" s="39" t="s">
        <v>396</v>
      </c>
      <c r="C115" s="40" t="s">
        <v>426</v>
      </c>
      <c r="D115" s="39" t="s">
        <v>427</v>
      </c>
      <c r="E115" s="40" t="s">
        <v>428</v>
      </c>
      <c r="F115" s="34" t="s">
        <v>22</v>
      </c>
      <c r="G115" s="35">
        <f t="shared" si="121"/>
        <v>1</v>
      </c>
      <c r="H115" s="10" t="s">
        <v>22</v>
      </c>
      <c r="I115" s="9">
        <f t="shared" si="120"/>
        <v>1</v>
      </c>
      <c r="J115" s="52">
        <f t="shared" si="122"/>
        <v>1</v>
      </c>
    </row>
    <row r="116" ht="54">
      <c r="A116" s="38" t="s">
        <v>36</v>
      </c>
      <c r="B116" s="39" t="s">
        <v>396</v>
      </c>
      <c r="C116" s="40" t="s">
        <v>426</v>
      </c>
      <c r="D116" s="39" t="s">
        <v>427</v>
      </c>
      <c r="E116" s="40" t="s">
        <v>429</v>
      </c>
      <c r="F116" s="34" t="s">
        <v>22</v>
      </c>
      <c r="G116" s="35">
        <f t="shared" si="121"/>
        <v>1</v>
      </c>
      <c r="H116" s="10" t="s">
        <v>22</v>
      </c>
      <c r="I116" s="9">
        <f t="shared" si="120"/>
        <v>1</v>
      </c>
      <c r="J116" s="52">
        <f t="shared" si="122"/>
        <v>1</v>
      </c>
    </row>
    <row r="117" ht="72">
      <c r="A117" s="38" t="s">
        <v>36</v>
      </c>
      <c r="B117" s="39" t="s">
        <v>396</v>
      </c>
      <c r="C117" s="40" t="s">
        <v>426</v>
      </c>
      <c r="D117" s="39" t="s">
        <v>427</v>
      </c>
      <c r="E117" s="40" t="s">
        <v>430</v>
      </c>
      <c r="F117" s="34" t="s">
        <v>70</v>
      </c>
      <c r="G117" s="35">
        <f t="shared" si="121"/>
        <v>0.5</v>
      </c>
      <c r="H117" s="10" t="s">
        <v>70</v>
      </c>
      <c r="I117" s="9">
        <f t="shared" si="120"/>
        <v>0.5</v>
      </c>
      <c r="J117" s="52">
        <f t="shared" si="122"/>
        <v>0.5</v>
      </c>
    </row>
    <row r="118" ht="90">
      <c r="A118" s="38" t="s">
        <v>36</v>
      </c>
      <c r="B118" s="39" t="s">
        <v>396</v>
      </c>
      <c r="C118" s="40" t="s">
        <v>431</v>
      </c>
      <c r="D118" s="39" t="s">
        <v>432</v>
      </c>
      <c r="E118" s="40" t="s">
        <v>433</v>
      </c>
      <c r="F118" s="34" t="s">
        <v>22</v>
      </c>
      <c r="G118" s="35">
        <f t="shared" si="121"/>
        <v>1</v>
      </c>
      <c r="H118" s="10" t="s">
        <v>22</v>
      </c>
      <c r="I118" s="9">
        <f t="shared" si="120"/>
        <v>1</v>
      </c>
      <c r="J118" s="52">
        <f t="shared" si="122"/>
        <v>1</v>
      </c>
    </row>
    <row r="119" ht="90">
      <c r="A119" s="38" t="s">
        <v>36</v>
      </c>
      <c r="B119" s="39" t="s">
        <v>396</v>
      </c>
      <c r="C119" s="40" t="s">
        <v>431</v>
      </c>
      <c r="D119" s="39" t="s">
        <v>432</v>
      </c>
      <c r="E119" s="40" t="s">
        <v>434</v>
      </c>
      <c r="F119" s="34" t="s">
        <v>22</v>
      </c>
      <c r="G119" s="35">
        <f t="shared" si="121"/>
        <v>1</v>
      </c>
      <c r="H119" s="10" t="s">
        <v>22</v>
      </c>
      <c r="I119" s="9">
        <f t="shared" si="120"/>
        <v>1</v>
      </c>
      <c r="J119" s="52">
        <f t="shared" si="122"/>
        <v>1</v>
      </c>
    </row>
    <row r="120" ht="90">
      <c r="A120" s="38" t="s">
        <v>36</v>
      </c>
      <c r="B120" s="39" t="s">
        <v>396</v>
      </c>
      <c r="C120" s="40" t="s">
        <v>431</v>
      </c>
      <c r="D120" s="39" t="s">
        <v>432</v>
      </c>
      <c r="E120" s="40" t="s">
        <v>435</v>
      </c>
      <c r="F120" s="34" t="s">
        <v>22</v>
      </c>
      <c r="G120" s="35">
        <f t="shared" si="121"/>
        <v>1</v>
      </c>
      <c r="H120" s="10" t="s">
        <v>70</v>
      </c>
      <c r="I120" s="9">
        <f t="shared" si="120"/>
        <v>0.5</v>
      </c>
      <c r="J120" s="52">
        <f t="shared" si="122"/>
        <v>0.75</v>
      </c>
    </row>
    <row r="121" ht="72">
      <c r="A121" s="38" t="s">
        <v>38</v>
      </c>
      <c r="B121" s="39" t="s">
        <v>396</v>
      </c>
      <c r="C121" s="40" t="s">
        <v>397</v>
      </c>
      <c r="D121" s="39" t="s">
        <v>398</v>
      </c>
      <c r="E121" s="40" t="s">
        <v>399</v>
      </c>
      <c r="F121" s="34" t="s">
        <v>22</v>
      </c>
      <c r="G121" s="35">
        <f t="shared" si="121"/>
        <v>1</v>
      </c>
      <c r="H121" s="10" t="s">
        <v>22</v>
      </c>
      <c r="I121" s="9">
        <f t="shared" si="120"/>
        <v>1</v>
      </c>
      <c r="J121" s="52">
        <f t="shared" si="122"/>
        <v>1</v>
      </c>
    </row>
    <row r="122" ht="72">
      <c r="A122" s="38" t="s">
        <v>38</v>
      </c>
      <c r="B122" s="39" t="s">
        <v>396</v>
      </c>
      <c r="C122" s="40" t="s">
        <v>397</v>
      </c>
      <c r="D122" s="39" t="s">
        <v>398</v>
      </c>
      <c r="E122" s="40" t="s">
        <v>400</v>
      </c>
      <c r="F122" s="34" t="s">
        <v>22</v>
      </c>
      <c r="G122" s="35">
        <f t="shared" si="121"/>
        <v>1</v>
      </c>
      <c r="H122" s="10" t="s">
        <v>22</v>
      </c>
      <c r="I122" s="9">
        <f t="shared" si="120"/>
        <v>1</v>
      </c>
      <c r="J122" s="52">
        <f t="shared" si="122"/>
        <v>1</v>
      </c>
    </row>
    <row r="123" ht="72">
      <c r="A123" s="38" t="s">
        <v>38</v>
      </c>
      <c r="B123" s="39" t="s">
        <v>396</v>
      </c>
      <c r="C123" s="40" t="s">
        <v>397</v>
      </c>
      <c r="D123" s="39" t="s">
        <v>398</v>
      </c>
      <c r="E123" s="40" t="s">
        <v>401</v>
      </c>
      <c r="F123" s="34" t="s">
        <v>22</v>
      </c>
      <c r="G123" s="35">
        <f t="shared" si="121"/>
        <v>1</v>
      </c>
      <c r="H123" s="10" t="s">
        <v>22</v>
      </c>
      <c r="I123" s="9">
        <f t="shared" si="120"/>
        <v>1</v>
      </c>
      <c r="J123" s="52">
        <f t="shared" si="122"/>
        <v>1</v>
      </c>
    </row>
    <row r="124" ht="54">
      <c r="A124" s="38" t="s">
        <v>38</v>
      </c>
      <c r="B124" s="39" t="s">
        <v>396</v>
      </c>
      <c r="C124" s="40" t="s">
        <v>402</v>
      </c>
      <c r="D124" s="39" t="s">
        <v>403</v>
      </c>
      <c r="E124" s="40" t="s">
        <v>404</v>
      </c>
      <c r="F124" s="34" t="s">
        <v>22</v>
      </c>
      <c r="G124" s="35">
        <f t="shared" si="121"/>
        <v>1</v>
      </c>
      <c r="H124" s="10" t="s">
        <v>70</v>
      </c>
      <c r="I124" s="9">
        <f t="shared" si="120"/>
        <v>0.5</v>
      </c>
      <c r="J124" s="52">
        <f t="shared" si="122"/>
        <v>0.75</v>
      </c>
    </row>
    <row r="125" ht="54">
      <c r="A125" s="38" t="s">
        <v>38</v>
      </c>
      <c r="B125" s="39" t="s">
        <v>396</v>
      </c>
      <c r="C125" s="40" t="s">
        <v>402</v>
      </c>
      <c r="D125" s="39" t="s">
        <v>403</v>
      </c>
      <c r="E125" s="40" t="s">
        <v>405</v>
      </c>
      <c r="F125" s="34" t="s">
        <v>70</v>
      </c>
      <c r="G125" s="35">
        <f t="shared" si="121"/>
        <v>0.5</v>
      </c>
      <c r="H125" s="34" t="s">
        <v>22</v>
      </c>
      <c r="I125" s="9">
        <f t="shared" si="120"/>
        <v>1</v>
      </c>
      <c r="J125" s="52">
        <f t="shared" si="122"/>
        <v>0.75</v>
      </c>
    </row>
    <row r="126" ht="90">
      <c r="A126" s="38" t="s">
        <v>38</v>
      </c>
      <c r="B126" s="39" t="s">
        <v>396</v>
      </c>
      <c r="C126" s="40" t="s">
        <v>402</v>
      </c>
      <c r="D126" s="39" t="s">
        <v>403</v>
      </c>
      <c r="E126" s="40" t="s">
        <v>406</v>
      </c>
      <c r="F126" s="34" t="s">
        <v>22</v>
      </c>
      <c r="G126" s="35">
        <f t="shared" si="121"/>
        <v>1</v>
      </c>
      <c r="H126" s="10" t="s">
        <v>70</v>
      </c>
      <c r="I126" s="9">
        <f t="shared" si="120"/>
        <v>0.5</v>
      </c>
      <c r="J126" s="52">
        <f t="shared" si="122"/>
        <v>0.75</v>
      </c>
    </row>
    <row r="127" ht="90">
      <c r="A127" s="38" t="s">
        <v>38</v>
      </c>
      <c r="B127" s="39" t="s">
        <v>396</v>
      </c>
      <c r="C127" s="40" t="s">
        <v>407</v>
      </c>
      <c r="D127" s="39" t="s">
        <v>408</v>
      </c>
      <c r="E127" s="40" t="s">
        <v>409</v>
      </c>
      <c r="F127" s="34" t="s">
        <v>22</v>
      </c>
      <c r="G127" s="35">
        <f t="shared" si="121"/>
        <v>1</v>
      </c>
      <c r="H127" s="10" t="s">
        <v>22</v>
      </c>
      <c r="I127" s="9">
        <f t="shared" si="120"/>
        <v>1</v>
      </c>
      <c r="J127" s="52">
        <f t="shared" si="122"/>
        <v>1</v>
      </c>
    </row>
    <row r="128" ht="90">
      <c r="A128" s="38" t="s">
        <v>38</v>
      </c>
      <c r="B128" s="39" t="s">
        <v>396</v>
      </c>
      <c r="C128" s="40" t="s">
        <v>407</v>
      </c>
      <c r="D128" s="39" t="s">
        <v>408</v>
      </c>
      <c r="E128" s="40" t="s">
        <v>410</v>
      </c>
      <c r="F128" s="34" t="s">
        <v>22</v>
      </c>
      <c r="G128" s="35">
        <f t="shared" si="121"/>
        <v>1</v>
      </c>
      <c r="H128" s="10" t="s">
        <v>22</v>
      </c>
      <c r="I128" s="9">
        <f t="shared" si="120"/>
        <v>1</v>
      </c>
      <c r="J128" s="52">
        <f t="shared" si="122"/>
        <v>1</v>
      </c>
    </row>
    <row r="129" ht="90">
      <c r="A129" s="38" t="s">
        <v>38</v>
      </c>
      <c r="B129" s="39" t="s">
        <v>396</v>
      </c>
      <c r="C129" s="40" t="s">
        <v>407</v>
      </c>
      <c r="D129" s="39" t="s">
        <v>408</v>
      </c>
      <c r="E129" s="40" t="s">
        <v>436</v>
      </c>
      <c r="F129" s="34" t="s">
        <v>22</v>
      </c>
      <c r="G129" s="35">
        <f t="shared" si="121"/>
        <v>1</v>
      </c>
      <c r="H129" s="10" t="s">
        <v>22</v>
      </c>
      <c r="I129" s="9">
        <f t="shared" si="120"/>
        <v>1</v>
      </c>
      <c r="J129" s="52">
        <f t="shared" si="122"/>
        <v>1</v>
      </c>
    </row>
    <row r="130" ht="90">
      <c r="A130" s="38" t="s">
        <v>38</v>
      </c>
      <c r="B130" s="39" t="s">
        <v>396</v>
      </c>
      <c r="C130" s="40" t="s">
        <v>411</v>
      </c>
      <c r="D130" s="39" t="s">
        <v>412</v>
      </c>
      <c r="E130" s="40" t="s">
        <v>413</v>
      </c>
      <c r="F130" s="34" t="s">
        <v>70</v>
      </c>
      <c r="G130" s="35">
        <f t="shared" si="121"/>
        <v>0.5</v>
      </c>
      <c r="H130" s="34" t="s">
        <v>70</v>
      </c>
      <c r="I130" s="9">
        <f t="shared" si="120"/>
        <v>0.5</v>
      </c>
      <c r="J130" s="52">
        <f t="shared" ref="J130:J168" si="123">AVERAGE(G130,I130)</f>
        <v>0.5</v>
      </c>
    </row>
    <row r="131" ht="72">
      <c r="A131" s="38" t="s">
        <v>38</v>
      </c>
      <c r="B131" s="39" t="s">
        <v>396</v>
      </c>
      <c r="C131" s="40" t="s">
        <v>411</v>
      </c>
      <c r="D131" s="39" t="s">
        <v>412</v>
      </c>
      <c r="E131" s="40" t="s">
        <v>414</v>
      </c>
      <c r="F131" s="34" t="s">
        <v>22</v>
      </c>
      <c r="G131" s="35">
        <f t="shared" si="121"/>
        <v>1</v>
      </c>
      <c r="H131" s="53" t="s">
        <v>70</v>
      </c>
      <c r="I131" s="9">
        <f t="shared" ref="I131:I168" si="124">IF(H131="Cumple",1,IF(H131="Cumple Parcialmente",0.5,IF(H131="No Cumple",0,"")))</f>
        <v>0.5</v>
      </c>
      <c r="J131" s="52">
        <f t="shared" si="123"/>
        <v>0.75</v>
      </c>
    </row>
    <row r="132" ht="90">
      <c r="A132" s="38" t="s">
        <v>38</v>
      </c>
      <c r="B132" s="39" t="s">
        <v>396</v>
      </c>
      <c r="C132" s="40" t="s">
        <v>411</v>
      </c>
      <c r="D132" s="39" t="s">
        <v>412</v>
      </c>
      <c r="E132" s="40" t="s">
        <v>415</v>
      </c>
      <c r="F132" s="34" t="s">
        <v>53</v>
      </c>
      <c r="G132" s="35">
        <f t="shared" si="121"/>
        <v>0</v>
      </c>
      <c r="H132" s="34" t="s">
        <v>53</v>
      </c>
      <c r="I132" s="9">
        <f t="shared" si="124"/>
        <v>0</v>
      </c>
      <c r="J132" s="52">
        <f t="shared" si="123"/>
        <v>0</v>
      </c>
    </row>
    <row r="133" ht="90">
      <c r="A133" s="38" t="s">
        <v>38</v>
      </c>
      <c r="B133" s="39" t="s">
        <v>396</v>
      </c>
      <c r="C133" s="40" t="s">
        <v>416</v>
      </c>
      <c r="D133" s="39" t="s">
        <v>417</v>
      </c>
      <c r="E133" s="40" t="s">
        <v>418</v>
      </c>
      <c r="F133" s="34" t="s">
        <v>22</v>
      </c>
      <c r="G133" s="35">
        <f t="shared" si="121"/>
        <v>1</v>
      </c>
      <c r="H133" s="34" t="s">
        <v>22</v>
      </c>
      <c r="I133" s="9">
        <f t="shared" si="124"/>
        <v>1</v>
      </c>
      <c r="J133" s="52">
        <f t="shared" si="123"/>
        <v>1</v>
      </c>
    </row>
    <row r="134" ht="90">
      <c r="A134" s="38" t="s">
        <v>38</v>
      </c>
      <c r="B134" s="39" t="s">
        <v>396</v>
      </c>
      <c r="C134" s="40" t="s">
        <v>416</v>
      </c>
      <c r="D134" s="39" t="s">
        <v>417</v>
      </c>
      <c r="E134" s="40" t="s">
        <v>419</v>
      </c>
      <c r="F134" s="34" t="s">
        <v>22</v>
      </c>
      <c r="G134" s="35">
        <f t="shared" si="121"/>
        <v>1</v>
      </c>
      <c r="H134" s="34" t="s">
        <v>22</v>
      </c>
      <c r="I134" s="9">
        <f t="shared" si="124"/>
        <v>1</v>
      </c>
      <c r="J134" s="52">
        <f t="shared" si="123"/>
        <v>1</v>
      </c>
    </row>
    <row r="135" ht="108">
      <c r="A135" s="38" t="s">
        <v>38</v>
      </c>
      <c r="B135" s="39" t="s">
        <v>396</v>
      </c>
      <c r="C135" s="40" t="s">
        <v>416</v>
      </c>
      <c r="D135" s="39" t="s">
        <v>417</v>
      </c>
      <c r="E135" s="40" t="s">
        <v>420</v>
      </c>
      <c r="F135" s="34" t="s">
        <v>53</v>
      </c>
      <c r="G135" s="35">
        <f t="shared" si="121"/>
        <v>0</v>
      </c>
      <c r="H135" s="34" t="s">
        <v>53</v>
      </c>
      <c r="I135" s="9">
        <f t="shared" si="124"/>
        <v>0</v>
      </c>
      <c r="J135" s="52">
        <f t="shared" si="123"/>
        <v>0</v>
      </c>
    </row>
    <row r="136" ht="54">
      <c r="A136" s="38" t="s">
        <v>38</v>
      </c>
      <c r="B136" s="39" t="s">
        <v>396</v>
      </c>
      <c r="C136" s="40" t="s">
        <v>421</v>
      </c>
      <c r="D136" s="39" t="s">
        <v>422</v>
      </c>
      <c r="E136" s="40" t="s">
        <v>423</v>
      </c>
      <c r="F136" s="34" t="s">
        <v>22</v>
      </c>
      <c r="G136" s="35">
        <f t="shared" si="121"/>
        <v>1</v>
      </c>
      <c r="H136" s="10" t="s">
        <v>22</v>
      </c>
      <c r="I136" s="9">
        <f t="shared" si="124"/>
        <v>1</v>
      </c>
      <c r="J136" s="52">
        <f t="shared" si="123"/>
        <v>1</v>
      </c>
    </row>
    <row r="137" ht="72">
      <c r="A137" s="38" t="s">
        <v>38</v>
      </c>
      <c r="B137" s="39" t="s">
        <v>396</v>
      </c>
      <c r="C137" s="40" t="s">
        <v>421</v>
      </c>
      <c r="D137" s="39" t="s">
        <v>422</v>
      </c>
      <c r="E137" s="40" t="s">
        <v>424</v>
      </c>
      <c r="F137" s="34" t="s">
        <v>22</v>
      </c>
      <c r="G137" s="35">
        <f t="shared" si="121"/>
        <v>1</v>
      </c>
      <c r="H137" s="10" t="s">
        <v>22</v>
      </c>
      <c r="I137" s="9">
        <f t="shared" si="124"/>
        <v>1</v>
      </c>
      <c r="J137" s="52">
        <f t="shared" si="123"/>
        <v>1</v>
      </c>
    </row>
    <row r="138" ht="72">
      <c r="A138" s="38" t="s">
        <v>38</v>
      </c>
      <c r="B138" s="39" t="s">
        <v>396</v>
      </c>
      <c r="C138" s="40" t="s">
        <v>421</v>
      </c>
      <c r="D138" s="39" t="s">
        <v>422</v>
      </c>
      <c r="E138" s="40" t="s">
        <v>425</v>
      </c>
      <c r="F138" s="34" t="s">
        <v>22</v>
      </c>
      <c r="G138" s="35">
        <f t="shared" si="121"/>
        <v>1</v>
      </c>
      <c r="H138" s="10" t="s">
        <v>22</v>
      </c>
      <c r="I138" s="9">
        <f t="shared" si="124"/>
        <v>1</v>
      </c>
      <c r="J138" s="52">
        <f t="shared" si="123"/>
        <v>1</v>
      </c>
    </row>
    <row r="139" ht="72">
      <c r="A139" s="38" t="s">
        <v>38</v>
      </c>
      <c r="B139" s="39" t="s">
        <v>396</v>
      </c>
      <c r="C139" s="40" t="s">
        <v>426</v>
      </c>
      <c r="D139" s="39" t="s">
        <v>427</v>
      </c>
      <c r="E139" s="40" t="s">
        <v>428</v>
      </c>
      <c r="F139" s="34" t="s">
        <v>53</v>
      </c>
      <c r="G139" s="35">
        <f t="shared" si="121"/>
        <v>0</v>
      </c>
      <c r="H139" s="34" t="s">
        <v>53</v>
      </c>
      <c r="I139" s="9">
        <f t="shared" si="124"/>
        <v>0</v>
      </c>
      <c r="J139" s="52">
        <f t="shared" si="123"/>
        <v>0</v>
      </c>
    </row>
    <row r="140" ht="54">
      <c r="A140" s="38" t="s">
        <v>38</v>
      </c>
      <c r="B140" s="39" t="s">
        <v>396</v>
      </c>
      <c r="C140" s="40" t="s">
        <v>426</v>
      </c>
      <c r="D140" s="39" t="s">
        <v>427</v>
      </c>
      <c r="E140" s="40" t="s">
        <v>429</v>
      </c>
      <c r="F140" s="34" t="s">
        <v>53</v>
      </c>
      <c r="G140" s="35">
        <f t="shared" si="121"/>
        <v>0</v>
      </c>
      <c r="H140" s="34" t="s">
        <v>53</v>
      </c>
      <c r="I140" s="9">
        <f t="shared" si="124"/>
        <v>0</v>
      </c>
      <c r="J140" s="52">
        <f t="shared" si="123"/>
        <v>0</v>
      </c>
    </row>
    <row r="141" ht="72">
      <c r="A141" s="38" t="s">
        <v>38</v>
      </c>
      <c r="B141" s="39" t="s">
        <v>396</v>
      </c>
      <c r="C141" s="40" t="s">
        <v>426</v>
      </c>
      <c r="D141" s="39" t="s">
        <v>427</v>
      </c>
      <c r="E141" s="40" t="s">
        <v>430</v>
      </c>
      <c r="F141" s="34" t="s">
        <v>22</v>
      </c>
      <c r="G141" s="35">
        <f t="shared" si="121"/>
        <v>1</v>
      </c>
      <c r="H141" s="34" t="s">
        <v>22</v>
      </c>
      <c r="I141" s="9">
        <f t="shared" si="124"/>
        <v>1</v>
      </c>
      <c r="J141" s="52">
        <f t="shared" si="123"/>
        <v>1</v>
      </c>
    </row>
    <row r="142" ht="90">
      <c r="A142" s="38" t="s">
        <v>38</v>
      </c>
      <c r="B142" s="39" t="s">
        <v>396</v>
      </c>
      <c r="C142" s="40" t="s">
        <v>431</v>
      </c>
      <c r="D142" s="39" t="s">
        <v>432</v>
      </c>
      <c r="E142" s="40" t="s">
        <v>433</v>
      </c>
      <c r="F142" s="34" t="s">
        <v>22</v>
      </c>
      <c r="G142" s="35">
        <f t="shared" si="121"/>
        <v>1</v>
      </c>
      <c r="H142" s="34" t="s">
        <v>22</v>
      </c>
      <c r="I142" s="9">
        <f t="shared" si="124"/>
        <v>1</v>
      </c>
      <c r="J142" s="52">
        <f t="shared" si="123"/>
        <v>1</v>
      </c>
    </row>
    <row r="143" ht="90">
      <c r="A143" s="38" t="s">
        <v>38</v>
      </c>
      <c r="B143" s="39" t="s">
        <v>396</v>
      </c>
      <c r="C143" s="40" t="s">
        <v>431</v>
      </c>
      <c r="D143" s="39" t="s">
        <v>432</v>
      </c>
      <c r="E143" s="40" t="s">
        <v>434</v>
      </c>
      <c r="F143" s="34" t="s">
        <v>22</v>
      </c>
      <c r="G143" s="35">
        <f t="shared" si="121"/>
        <v>1</v>
      </c>
      <c r="H143" s="34" t="s">
        <v>22</v>
      </c>
      <c r="I143" s="9">
        <f t="shared" si="124"/>
        <v>1</v>
      </c>
      <c r="J143" s="52">
        <f t="shared" si="123"/>
        <v>1</v>
      </c>
    </row>
    <row r="144" ht="90">
      <c r="A144" s="38" t="s">
        <v>38</v>
      </c>
      <c r="B144" s="39" t="s">
        <v>396</v>
      </c>
      <c r="C144" s="40" t="s">
        <v>431</v>
      </c>
      <c r="D144" s="39" t="s">
        <v>432</v>
      </c>
      <c r="E144" s="40" t="s">
        <v>435</v>
      </c>
      <c r="F144" s="34" t="s">
        <v>22</v>
      </c>
      <c r="G144" s="35">
        <f t="shared" si="121"/>
        <v>1</v>
      </c>
      <c r="H144" s="34" t="s">
        <v>22</v>
      </c>
      <c r="I144" s="9">
        <f t="shared" si="124"/>
        <v>1</v>
      </c>
      <c r="J144" s="52">
        <f t="shared" si="123"/>
        <v>1</v>
      </c>
    </row>
    <row r="145" ht="72">
      <c r="A145" s="38" t="s">
        <v>42</v>
      </c>
      <c r="B145" s="39" t="s">
        <v>396</v>
      </c>
      <c r="C145" s="40" t="s">
        <v>397</v>
      </c>
      <c r="D145" s="39" t="s">
        <v>398</v>
      </c>
      <c r="E145" s="40" t="s">
        <v>399</v>
      </c>
      <c r="F145" s="34" t="s">
        <v>22</v>
      </c>
      <c r="G145" s="35">
        <f t="shared" si="121"/>
        <v>1</v>
      </c>
      <c r="H145" s="34" t="s">
        <v>22</v>
      </c>
      <c r="I145" s="9">
        <f t="shared" si="124"/>
        <v>1</v>
      </c>
      <c r="J145" s="52">
        <f t="shared" si="123"/>
        <v>1</v>
      </c>
    </row>
    <row r="146" ht="72">
      <c r="A146" s="38" t="s">
        <v>42</v>
      </c>
      <c r="B146" s="39" t="s">
        <v>396</v>
      </c>
      <c r="C146" s="40" t="s">
        <v>397</v>
      </c>
      <c r="D146" s="39" t="s">
        <v>398</v>
      </c>
      <c r="E146" s="40" t="s">
        <v>400</v>
      </c>
      <c r="F146" s="34" t="s">
        <v>53</v>
      </c>
      <c r="G146" s="35">
        <f t="shared" si="121"/>
        <v>0</v>
      </c>
      <c r="H146" s="10" t="s">
        <v>437</v>
      </c>
      <c r="I146" s="9">
        <f t="shared" si="124"/>
        <v>0</v>
      </c>
      <c r="J146" s="52">
        <f t="shared" si="123"/>
        <v>0</v>
      </c>
    </row>
    <row r="147" ht="72">
      <c r="A147" s="38" t="s">
        <v>42</v>
      </c>
      <c r="B147" s="39" t="s">
        <v>396</v>
      </c>
      <c r="C147" s="40" t="s">
        <v>397</v>
      </c>
      <c r="D147" s="39" t="s">
        <v>398</v>
      </c>
      <c r="E147" s="40" t="s">
        <v>401</v>
      </c>
      <c r="F147" s="34" t="s">
        <v>22</v>
      </c>
      <c r="G147" s="35">
        <f t="shared" si="121"/>
        <v>1</v>
      </c>
      <c r="H147" s="10" t="s">
        <v>438</v>
      </c>
      <c r="I147" s="9">
        <f t="shared" si="124"/>
        <v>0.5</v>
      </c>
      <c r="J147" s="52">
        <f t="shared" si="123"/>
        <v>0.75</v>
      </c>
    </row>
    <row r="148" ht="54">
      <c r="A148" s="38" t="s">
        <v>42</v>
      </c>
      <c r="B148" s="39" t="s">
        <v>396</v>
      </c>
      <c r="C148" s="40" t="s">
        <v>402</v>
      </c>
      <c r="D148" s="39" t="s">
        <v>403</v>
      </c>
      <c r="E148" s="40" t="s">
        <v>404</v>
      </c>
      <c r="F148" s="34" t="s">
        <v>70</v>
      </c>
      <c r="G148" s="35">
        <f t="shared" si="121"/>
        <v>0.5</v>
      </c>
      <c r="H148" s="10" t="s">
        <v>438</v>
      </c>
      <c r="I148" s="9">
        <f t="shared" si="124"/>
        <v>0.5</v>
      </c>
      <c r="J148" s="52">
        <f t="shared" si="123"/>
        <v>0.5</v>
      </c>
    </row>
    <row r="149" ht="54">
      <c r="A149" s="38" t="s">
        <v>42</v>
      </c>
      <c r="B149" s="39" t="s">
        <v>396</v>
      </c>
      <c r="C149" s="40" t="s">
        <v>402</v>
      </c>
      <c r="D149" s="39" t="s">
        <v>403</v>
      </c>
      <c r="E149" s="40" t="s">
        <v>405</v>
      </c>
      <c r="F149" s="34" t="s">
        <v>22</v>
      </c>
      <c r="G149" s="35">
        <f t="shared" si="121"/>
        <v>1</v>
      </c>
      <c r="H149" s="10" t="s">
        <v>438</v>
      </c>
      <c r="I149" s="9">
        <f t="shared" si="124"/>
        <v>0.5</v>
      </c>
      <c r="J149" s="52">
        <f t="shared" si="123"/>
        <v>0.75</v>
      </c>
    </row>
    <row r="150" ht="90">
      <c r="A150" s="38" t="s">
        <v>42</v>
      </c>
      <c r="B150" s="39" t="s">
        <v>396</v>
      </c>
      <c r="C150" s="40" t="s">
        <v>402</v>
      </c>
      <c r="D150" s="39" t="s">
        <v>403</v>
      </c>
      <c r="E150" s="40" t="s">
        <v>406</v>
      </c>
      <c r="F150" s="34" t="s">
        <v>22</v>
      </c>
      <c r="G150" s="35">
        <f t="shared" si="121"/>
        <v>1</v>
      </c>
      <c r="H150" s="10" t="s">
        <v>439</v>
      </c>
      <c r="I150" s="9">
        <f t="shared" si="124"/>
        <v>1</v>
      </c>
      <c r="J150" s="52">
        <f t="shared" si="123"/>
        <v>1</v>
      </c>
    </row>
    <row r="151" ht="90">
      <c r="A151" s="38" t="s">
        <v>42</v>
      </c>
      <c r="B151" s="39" t="s">
        <v>396</v>
      </c>
      <c r="C151" s="40" t="s">
        <v>407</v>
      </c>
      <c r="D151" s="39" t="s">
        <v>408</v>
      </c>
      <c r="E151" s="40" t="s">
        <v>409</v>
      </c>
      <c r="F151" s="34" t="s">
        <v>22</v>
      </c>
      <c r="G151" s="35">
        <f t="shared" si="121"/>
        <v>1</v>
      </c>
      <c r="H151" s="10" t="s">
        <v>438</v>
      </c>
      <c r="I151" s="9">
        <f t="shared" si="124"/>
        <v>0.5</v>
      </c>
      <c r="J151" s="52">
        <f t="shared" si="123"/>
        <v>0.75</v>
      </c>
    </row>
    <row r="152" ht="90">
      <c r="A152" s="38" t="s">
        <v>42</v>
      </c>
      <c r="B152" s="39" t="s">
        <v>396</v>
      </c>
      <c r="C152" s="40" t="s">
        <v>407</v>
      </c>
      <c r="D152" s="39" t="s">
        <v>408</v>
      </c>
      <c r="E152" s="40" t="s">
        <v>410</v>
      </c>
      <c r="F152" s="34" t="s">
        <v>22</v>
      </c>
      <c r="G152" s="35">
        <f t="shared" si="121"/>
        <v>1</v>
      </c>
      <c r="H152" s="10" t="s">
        <v>438</v>
      </c>
      <c r="I152" s="9">
        <f t="shared" si="124"/>
        <v>0.5</v>
      </c>
      <c r="J152" s="52">
        <f t="shared" si="123"/>
        <v>0.75</v>
      </c>
    </row>
    <row r="153" ht="90">
      <c r="A153" s="38" t="s">
        <v>42</v>
      </c>
      <c r="B153" s="39" t="s">
        <v>396</v>
      </c>
      <c r="C153" s="40" t="s">
        <v>407</v>
      </c>
      <c r="D153" s="39" t="s">
        <v>408</v>
      </c>
      <c r="E153" s="40" t="s">
        <v>436</v>
      </c>
      <c r="F153" s="34" t="s">
        <v>22</v>
      </c>
      <c r="G153" s="35">
        <f t="shared" si="121"/>
        <v>1</v>
      </c>
      <c r="H153" s="10" t="s">
        <v>439</v>
      </c>
      <c r="I153" s="9">
        <f t="shared" si="124"/>
        <v>1</v>
      </c>
      <c r="J153" s="52">
        <f t="shared" si="123"/>
        <v>1</v>
      </c>
    </row>
    <row r="154" ht="90">
      <c r="A154" s="38" t="s">
        <v>42</v>
      </c>
      <c r="B154" s="39" t="s">
        <v>396</v>
      </c>
      <c r="C154" s="40" t="s">
        <v>411</v>
      </c>
      <c r="D154" s="39" t="s">
        <v>412</v>
      </c>
      <c r="E154" s="40" t="s">
        <v>413</v>
      </c>
      <c r="F154" s="34" t="s">
        <v>53</v>
      </c>
      <c r="G154" s="35">
        <f t="shared" si="121"/>
        <v>0</v>
      </c>
      <c r="H154" s="10" t="s">
        <v>437</v>
      </c>
      <c r="I154" s="9">
        <f t="shared" si="124"/>
        <v>0</v>
      </c>
      <c r="J154" s="52">
        <f t="shared" si="123"/>
        <v>0</v>
      </c>
    </row>
    <row r="155" ht="72">
      <c r="A155" s="38" t="s">
        <v>42</v>
      </c>
      <c r="B155" s="39" t="s">
        <v>396</v>
      </c>
      <c r="C155" s="40" t="s">
        <v>411</v>
      </c>
      <c r="D155" s="39" t="s">
        <v>412</v>
      </c>
      <c r="E155" s="40" t="s">
        <v>414</v>
      </c>
      <c r="F155" s="34" t="s">
        <v>22</v>
      </c>
      <c r="G155" s="35">
        <f t="shared" si="121"/>
        <v>1</v>
      </c>
      <c r="H155" s="10" t="s">
        <v>440</v>
      </c>
      <c r="I155" s="9" t="str">
        <f t="shared" si="124"/>
        <v/>
      </c>
      <c r="J155" s="52">
        <f t="shared" si="123"/>
        <v>1</v>
      </c>
    </row>
    <row r="156" ht="90">
      <c r="A156" s="38" t="s">
        <v>42</v>
      </c>
      <c r="B156" s="39" t="s">
        <v>396</v>
      </c>
      <c r="C156" s="40" t="s">
        <v>411</v>
      </c>
      <c r="D156" s="39" t="s">
        <v>412</v>
      </c>
      <c r="E156" s="40" t="s">
        <v>415</v>
      </c>
      <c r="F156" s="34" t="s">
        <v>53</v>
      </c>
      <c r="G156" s="35">
        <f t="shared" si="121"/>
        <v>0</v>
      </c>
      <c r="H156" s="10" t="s">
        <v>437</v>
      </c>
      <c r="I156" s="9">
        <f t="shared" si="124"/>
        <v>0</v>
      </c>
      <c r="J156" s="52">
        <f t="shared" si="123"/>
        <v>0</v>
      </c>
    </row>
    <row r="157" ht="90">
      <c r="A157" s="38" t="s">
        <v>42</v>
      </c>
      <c r="B157" s="39" t="s">
        <v>396</v>
      </c>
      <c r="C157" s="40" t="s">
        <v>416</v>
      </c>
      <c r="D157" s="39" t="s">
        <v>417</v>
      </c>
      <c r="E157" s="40" t="s">
        <v>418</v>
      </c>
      <c r="F157" s="34" t="s">
        <v>22</v>
      </c>
      <c r="G157" s="35">
        <f t="shared" ref="G157:G168" si="125">IF(F157="Cumple",1,IF(F157="Cumple Parcialmente",0.5,IF(F157="No Cumple",0,"")))</f>
        <v>1</v>
      </c>
      <c r="H157" s="10" t="s">
        <v>438</v>
      </c>
      <c r="I157" s="9">
        <f t="shared" si="124"/>
        <v>0.5</v>
      </c>
      <c r="J157" s="52">
        <f t="shared" si="123"/>
        <v>0.75</v>
      </c>
    </row>
    <row r="158" ht="90">
      <c r="A158" s="38" t="s">
        <v>42</v>
      </c>
      <c r="B158" s="39" t="s">
        <v>396</v>
      </c>
      <c r="C158" s="40" t="s">
        <v>416</v>
      </c>
      <c r="D158" s="39" t="s">
        <v>417</v>
      </c>
      <c r="E158" s="40" t="s">
        <v>419</v>
      </c>
      <c r="F158" s="34" t="s">
        <v>22</v>
      </c>
      <c r="G158" s="35">
        <f t="shared" si="125"/>
        <v>1</v>
      </c>
      <c r="H158" s="10" t="s">
        <v>439</v>
      </c>
      <c r="I158" s="9">
        <f t="shared" si="124"/>
        <v>1</v>
      </c>
      <c r="J158" s="52">
        <f t="shared" si="123"/>
        <v>1</v>
      </c>
    </row>
    <row r="159" ht="108">
      <c r="A159" s="38" t="s">
        <v>42</v>
      </c>
      <c r="B159" s="39" t="s">
        <v>396</v>
      </c>
      <c r="C159" s="40" t="s">
        <v>416</v>
      </c>
      <c r="D159" s="39" t="s">
        <v>417</v>
      </c>
      <c r="E159" s="40" t="s">
        <v>420</v>
      </c>
      <c r="F159" s="34" t="s">
        <v>53</v>
      </c>
      <c r="G159" s="35">
        <f t="shared" si="125"/>
        <v>0</v>
      </c>
      <c r="H159" s="34" t="s">
        <v>53</v>
      </c>
      <c r="I159" s="9">
        <f t="shared" si="124"/>
        <v>0</v>
      </c>
      <c r="J159" s="52">
        <f t="shared" si="123"/>
        <v>0</v>
      </c>
    </row>
    <row r="160" ht="54">
      <c r="A160" s="38" t="s">
        <v>42</v>
      </c>
      <c r="B160" s="39" t="s">
        <v>396</v>
      </c>
      <c r="C160" s="40" t="s">
        <v>421</v>
      </c>
      <c r="D160" s="39" t="s">
        <v>422</v>
      </c>
      <c r="E160" s="40" t="s">
        <v>423</v>
      </c>
      <c r="F160" s="34" t="s">
        <v>22</v>
      </c>
      <c r="G160" s="35">
        <f t="shared" si="125"/>
        <v>1</v>
      </c>
      <c r="H160" s="34" t="s">
        <v>22</v>
      </c>
      <c r="I160" s="9">
        <f t="shared" si="124"/>
        <v>1</v>
      </c>
      <c r="J160" s="52">
        <f t="shared" si="123"/>
        <v>1</v>
      </c>
    </row>
    <row r="161" ht="72">
      <c r="A161" s="38" t="s">
        <v>42</v>
      </c>
      <c r="B161" s="39" t="s">
        <v>396</v>
      </c>
      <c r="C161" s="40" t="s">
        <v>421</v>
      </c>
      <c r="D161" s="39" t="s">
        <v>422</v>
      </c>
      <c r="E161" s="40" t="s">
        <v>424</v>
      </c>
      <c r="F161" s="34" t="s">
        <v>22</v>
      </c>
      <c r="G161" s="35">
        <f t="shared" si="125"/>
        <v>1</v>
      </c>
      <c r="H161" s="34" t="s">
        <v>22</v>
      </c>
      <c r="I161" s="9">
        <f t="shared" si="124"/>
        <v>1</v>
      </c>
      <c r="J161" s="52">
        <f t="shared" si="123"/>
        <v>1</v>
      </c>
    </row>
    <row r="162" ht="72">
      <c r="A162" s="38" t="s">
        <v>42</v>
      </c>
      <c r="B162" s="39" t="s">
        <v>396</v>
      </c>
      <c r="C162" s="40" t="s">
        <v>421</v>
      </c>
      <c r="D162" s="39" t="s">
        <v>422</v>
      </c>
      <c r="E162" s="40" t="s">
        <v>425</v>
      </c>
      <c r="F162" s="34" t="s">
        <v>22</v>
      </c>
      <c r="G162" s="35">
        <f t="shared" si="125"/>
        <v>1</v>
      </c>
      <c r="H162" s="34" t="s">
        <v>22</v>
      </c>
      <c r="I162" s="9">
        <f t="shared" si="124"/>
        <v>1</v>
      </c>
      <c r="J162" s="52">
        <f t="shared" si="123"/>
        <v>1</v>
      </c>
    </row>
    <row r="163" ht="72">
      <c r="A163" s="38" t="s">
        <v>42</v>
      </c>
      <c r="B163" s="39" t="s">
        <v>396</v>
      </c>
      <c r="C163" s="40" t="s">
        <v>426</v>
      </c>
      <c r="D163" s="39" t="s">
        <v>427</v>
      </c>
      <c r="E163" s="40" t="s">
        <v>428</v>
      </c>
      <c r="F163" s="34" t="s">
        <v>53</v>
      </c>
      <c r="G163" s="35">
        <f t="shared" si="125"/>
        <v>0</v>
      </c>
      <c r="H163" s="34" t="s">
        <v>53</v>
      </c>
      <c r="I163" s="9">
        <f t="shared" si="124"/>
        <v>0</v>
      </c>
      <c r="J163" s="52">
        <f t="shared" si="123"/>
        <v>0</v>
      </c>
    </row>
    <row r="164" ht="54">
      <c r="A164" s="38" t="s">
        <v>42</v>
      </c>
      <c r="B164" s="39" t="s">
        <v>396</v>
      </c>
      <c r="C164" s="40" t="s">
        <v>426</v>
      </c>
      <c r="D164" s="39" t="s">
        <v>427</v>
      </c>
      <c r="E164" s="40" t="s">
        <v>429</v>
      </c>
      <c r="F164" s="34" t="s">
        <v>53</v>
      </c>
      <c r="G164" s="35">
        <f t="shared" si="125"/>
        <v>0</v>
      </c>
      <c r="H164" s="34" t="s">
        <v>53</v>
      </c>
      <c r="I164" s="9">
        <f t="shared" si="124"/>
        <v>0</v>
      </c>
      <c r="J164" s="52">
        <f t="shared" si="123"/>
        <v>0</v>
      </c>
    </row>
    <row r="165" ht="72">
      <c r="A165" s="38" t="s">
        <v>42</v>
      </c>
      <c r="B165" s="39" t="s">
        <v>396</v>
      </c>
      <c r="C165" s="40" t="s">
        <v>426</v>
      </c>
      <c r="D165" s="39" t="s">
        <v>427</v>
      </c>
      <c r="E165" s="40" t="s">
        <v>430</v>
      </c>
      <c r="F165" s="34" t="s">
        <v>53</v>
      </c>
      <c r="G165" s="35">
        <f t="shared" si="125"/>
        <v>0</v>
      </c>
      <c r="H165" s="34" t="s">
        <v>53</v>
      </c>
      <c r="I165" s="9">
        <f t="shared" si="124"/>
        <v>0</v>
      </c>
      <c r="J165" s="52">
        <f t="shared" si="123"/>
        <v>0</v>
      </c>
    </row>
    <row r="166" ht="90">
      <c r="A166" s="38" t="s">
        <v>42</v>
      </c>
      <c r="B166" s="39" t="s">
        <v>396</v>
      </c>
      <c r="C166" s="40" t="s">
        <v>431</v>
      </c>
      <c r="D166" s="39" t="s">
        <v>432</v>
      </c>
      <c r="E166" s="40" t="s">
        <v>433</v>
      </c>
      <c r="F166" s="34" t="s">
        <v>22</v>
      </c>
      <c r="G166" s="35">
        <f t="shared" si="125"/>
        <v>1</v>
      </c>
      <c r="H166" s="10" t="s">
        <v>438</v>
      </c>
      <c r="I166" s="9">
        <f t="shared" si="124"/>
        <v>0.5</v>
      </c>
      <c r="J166" s="52">
        <f t="shared" si="123"/>
        <v>0.75</v>
      </c>
    </row>
    <row r="167" ht="90">
      <c r="A167" s="38" t="s">
        <v>42</v>
      </c>
      <c r="B167" s="39" t="s">
        <v>396</v>
      </c>
      <c r="C167" s="40" t="s">
        <v>431</v>
      </c>
      <c r="D167" s="39" t="s">
        <v>432</v>
      </c>
      <c r="E167" s="40" t="s">
        <v>434</v>
      </c>
      <c r="F167" s="34" t="s">
        <v>70</v>
      </c>
      <c r="G167" s="35">
        <f t="shared" si="125"/>
        <v>0.5</v>
      </c>
      <c r="H167" s="34" t="s">
        <v>70</v>
      </c>
      <c r="I167" s="9">
        <f t="shared" si="124"/>
        <v>0.5</v>
      </c>
      <c r="J167" s="52">
        <f t="shared" si="123"/>
        <v>0.5</v>
      </c>
    </row>
    <row r="168" ht="90">
      <c r="A168" s="24" t="s">
        <v>42</v>
      </c>
      <c r="B168" s="25" t="s">
        <v>396</v>
      </c>
      <c r="C168" s="26" t="s">
        <v>431</v>
      </c>
      <c r="D168" s="25" t="s">
        <v>432</v>
      </c>
      <c r="E168" s="26" t="s">
        <v>435</v>
      </c>
      <c r="F168" s="41" t="s">
        <v>22</v>
      </c>
      <c r="G168" s="42">
        <f t="shared" si="125"/>
        <v>1</v>
      </c>
      <c r="H168" s="54" t="s">
        <v>438</v>
      </c>
      <c r="I168" s="43">
        <f t="shared" si="124"/>
        <v>0.5</v>
      </c>
      <c r="J168" s="55">
        <f t="shared" si="123"/>
        <v>0.75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Bernarda Morales</dc:creator>
  <cp:revision>1</cp:revision>
  <dcterms:created xsi:type="dcterms:W3CDTF">2026-03-30T17:34:59Z</dcterms:created>
  <dcterms:modified xsi:type="dcterms:W3CDTF">2026-04-09T20:24:33Z</dcterms:modified>
</cp:coreProperties>
</file>